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217015d04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519d4a640764775"/>
    <x:sheet xmlns:r="http://schemas.openxmlformats.org/officeDocument/2006/relationships" name="WBS" sheetId="2" r:id="R6b0a437406f6495e"/>
    <x:sheet xmlns:r="http://schemas.openxmlformats.org/officeDocument/2006/relationships" name="Assumptions" sheetId="3" r:id="R3379117b6b78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  <x:font>
      <x:color rgb="000000FF"/>
    </x:font>
    <x:font>
      <x:b/>
      <x:sz val="16"/>
      <x:color rgb="00FFFFFF"/>
    </x:font>
    <x:font>
      <x:b/>
      <x:sz val="12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D9E1F2"/>
      </x:patternFill>
    </x:fill>
  </x:fills>
  <x:borders count="6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  <x:border>
      <x:left/>
      <x:right/>
      <x:top style="thin">
        <x:color rgb="00A6A6A6"/>
      </x:top>
      <x:bottom/>
      <x:diagonal/>
    </x:border>
    <x:border>
      <x:left/>
      <x:right style="thin">
        <x:color rgb="00A6A6A6"/>
      </x:right>
      <x:top style="thin">
        <x:color rgb="00A6A6A6"/>
      </x:top>
      <x:bottom/>
      <x:diagonal/>
    </x:border>
    <x:border>
      <x:left/>
      <x:right/>
      <x:top style="thin">
        <x:color rgb="00A6A6A6"/>
      </x:top>
      <x:bottom style="thin">
        <x:color rgb="00A6A6A6"/>
      </x:bottom>
      <x:diagonal/>
    </x:border>
    <x:border>
      <x:left/>
      <x:right style="thin">
        <x:color rgb="00A6A6A6"/>
      </x:right>
      <x:top style="thin">
        <x:color rgb="00A6A6A6"/>
      </x:top>
      <x:bottom style="thin">
        <x:color rgb="00A6A6A6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5" fillId="2" borderId="0" xfId="0" applyAlignment="1">
      <x:alignment horizontal="center" vertical="center"/>
    </x:xf>
    <x:xf numFmtId="0" fontId="6" fillId="4" borderId="1" xfId="0"/>
    <x:xf numFmtId="0" fontId="0" fillId="0" borderId="1" xfId="0" applyAlignment="1">
      <x:alignment horizontal="left" vertical="top" wrapText="1"/>
    </x:xf>
    <x:xf numFmtId="0" fontId="2" fillId="0" borderId="1" xfId="0"/>
    <x:xf numFmtId="164" fontId="4" fillId="3" borderId="1" xfId="0"/>
    <x:xf numFmtId="0" fontId="0" fillId="0" borderId="1" xfId="0"/>
    <x:xf numFmtId="9" fontId="0" fillId="0" borderId="1" xfId="0"/>
    <x:xf numFmtId="0" fontId="3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9" fontId="0" fillId="0" borderId="1" xfId="0" applyAlignment="1">
      <x:alignment horizontal="left" vertical="top" wrapText="1"/>
    </x:xf>
    <x:xf numFmtId="0" fontId="4" fillId="3" borderId="1" xfId="0" applyAlignment="1">
      <x:alignment horizontal="left" vertical="top" wrapText="1"/>
    </x:xf>
    <x:xf numFmtId="9" fontId="4" fillId="3" borderId="1" xfId="0" applyAlignment="1">
      <x:alignment horizontal="left" vertical="top" wrapText="1"/>
    </x:xf>
    <x:xf numFmtId="164" fontId="4" fillId="3" borderId="1" xfId="0" applyAlignment="1">
      <x:alignment horizontal="left" vertical="top" wrapText="1"/>
    </x:xf>
    <x:xf numFmtId="164" fontId="0" fillId="0" borderId="1" xfId="0" applyAlignment="1">
      <x:alignment horizontal="left" vertical="top" wrapText="1"/>
    </x:xf>
    <x:xf numFmtId="0" fontId="1" fillId="0" borderId="0" xfId="0"/>
    <x:xf numFmtId="0" fontId="2" fillId="0" borderId="0" xfId="0"/>
    <x:xf numFmtId="0" fontId="0" fillId="0" borderId="0" xfId="0" applyAlignment="1">
      <x:alignment horizontal="left" vertical="top" wrapText="1"/>
    </x:xf>
    <x:xf numFmtId="164" fontId="4" fillId="3" borderId="0" xfId="0"/>
    <x:xf numFmtId="9" fontId="0" fillId="0" borderId="1" xfId="0" applyAlignment="1">
      <x:alignment horizontal="center" vertical="center" wrapText="1"/>
    </x:xf>
    <x:xf numFmtId="9" fontId="4" fillId="3" borderId="0" xfId="0"/>
    <x:xf numFmtId="0" fontId="0" fillId="0" borderId="4" xfId="0"/>
    <x:xf numFmtId="0" fontId="0" fillId="0" borderId="5" xfId="0"/>
    <x:xf numFmtId="0" fontId="6" fillId="4" borderId="0" xfId="0"/>
    <x:xf numFmtId="0" fontId="0" fillId="0" borderId="1" xfId="0" applyAlignment="1">
      <x:alignment horizontal="center" vertical="center"/>
    </x:xf>
    <x:xf numFmtId="0" fontId="2" fillId="0" borderId="0" xfId="0" applyAlignment="1">
      <x:alignment horizontal="left" vertical="center"/>
    </x:xf>
    <x:xf numFmtId="0" fontId="3" fillId="2" borderId="1" xfId="0" applyAlignment="1">
      <x:alignment horizontal="center" vertical="center"/>
    </x:xf>
    <x:xf numFmtId="9" fontId="0" fillId="0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edd42e6e64313" /><Relationship Type="http://schemas.openxmlformats.org/officeDocument/2006/relationships/theme" Target="/xl/theme/theme1.xml" Id="Re5a7974840c347fd" /><Relationship Type="http://schemas.openxmlformats.org/officeDocument/2006/relationships/sharedStrings" Target="/xl/sharedStrings.xml" Id="R0e6ba49e309343d7" /><Relationship Type="http://schemas.openxmlformats.org/officeDocument/2006/relationships/worksheet" Target="/xl/worksheets/sheet1.xml" Id="R9519d4a640764775" /><Relationship Type="http://schemas.openxmlformats.org/officeDocument/2006/relationships/worksheet" Target="/xl/worksheets/sheet2.xml" Id="R6b0a437406f6495e" /><Relationship Type="http://schemas.openxmlformats.org/officeDocument/2006/relationships/worksheet" Target="/xl/worksheets/sheet3.xml" Id="R3379117b6b78486a" /></Relationships>
</file>

<file path=xl/tables/table1.xml><?xml version="1.0" encoding="utf-8"?>
<x:table xmlns:x="http://schemas.openxmlformats.org/spreadsheetml/2006/main" id="1" name="WBS_Table" displayName="WBS_Table" ref="A1:X114" headerRowCount="1">
  <x:autoFilter ref="A1:X114"/>
  <x:tableColumns count="24">
    <x:tableColumn id="1" name="WBS"/>
    <x:tableColumn id="2" name="단계"/>
    <x:tableColumn id="3" name="작업영역"/>
    <x:tableColumn id="4" name="모듈"/>
    <x:tableColumn id="5" name="세부작업"/>
    <x:tableColumn id="6" name="범위/설명"/>
    <x:tableColumn id="7" name="산정 근거(핵심 활동)"/>
    <x:tableColumn id="8" name="선행작업"/>
    <x:tableColumn id="9" name="담당"/>
    <x:tableColumn id="10" name="복잡도"/>
    <x:tableColumn id="11" name="기준공수(일)"/>
    <x:tableColumn id="12" name="버퍼율"/>
    <x:tableColumn id="13" name="버퍼공수(일)"/>
    <x:tableColumn id="14" name="계산공수(일)"/>
    <x:tableColumn id="15" name="조정공수(일,입력)"/>
    <x:tableColumn id="16" name="최종공수(일)"/>
    <x:tableColumn id="17" name="진행률(%)"/>
    <x:tableColumn id="18" name="완료공수(일)"/>
    <x:tableColumn id="19" name="잔여공수(일)"/>
    <x:tableColumn id="20" name="상태"/>
    <x:tableColumn id="21" name="계획시작일(입력)"/>
    <x:tableColumn id="22" name="계획종료일(자동)"/>
    <x:tableColumn id="23" name="산출물"/>
    <x:tableColumn id="24" name="참조(제안서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b382c99d4347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16" customWidth="1"/>
    <x:col min="3" max="3" width="2" customWidth="1"/>
    <x:col min="4" max="4" width="16" customWidth="1"/>
    <x:col min="5" max="5" width="14" customWidth="1"/>
    <x:col min="6" max="6" width="12" customWidth="1"/>
    <x:col min="7" max="7" width="10" customWidth="1"/>
    <x:col min="8" max="8" width="12" customWidth="1"/>
  </x:cols>
  <x:sheetData>
    <x:row r="1" ht="28" customHeight="1">
      <x:c r="A1" s="1" t="inlineStr">
        <x:is>
          <x:t xml:space="preserve">IT 공지업무 개선 - WBS (근거/진행/잔여 자동집계)</x:t>
        </x:is>
      </x:c>
    </x:row>
    <x:row r="3">
      <x:c r="A3" s="2" t="inlineStr">
        <x:is>
          <x:t xml:space="preserve">도입부(판단 근거)</x:t>
        </x:is>
      </x:c>
      <x:c r="B3" s="22" t="n"/>
      <x:c r="C3" s="22" t="n"/>
      <x:c r="D3" s="22" t="n"/>
      <x:c r="E3" s="22" t="n"/>
      <x:c r="F3" s="22" t="n"/>
      <x:c r="G3" s="22" t="n"/>
      <x:c r="H3" s="23" t="n"/>
    </x:row>
    <x:row r="4">
      <x:c r="A4" s="3" t="inlineStr">
        <x:is>
          <x:t xml:space="preserve">• 본 WBS는 제안서의 Step 1~6(공지등록→승인→메일발송→Outlook 일정등록→History/Dashboard)을 기준으로 업무를 분해함.</x:t>
        </x:is>
      </x:c>
      <x:c r="B4" s="22" t="n"/>
      <x:c r="C4" s="22" t="n"/>
      <x:c r="D4" s="22" t="n"/>
      <x:c r="E4" s="22" t="n"/>
      <x:c r="F4" s="22" t="n"/>
      <x:c r="G4" s="22" t="n"/>
      <x:c r="H4" s="23" t="n"/>
    </x:row>
    <x:row r="5">
      <x:c r="A5" s="3" t="inlineStr">
        <x:is>
          <x:t xml:space="preserve">• 각 작업의 '최종공수(일)'는 복잡도별 기준공수 + 버퍼율로 산정(Assumptions 시트에서 조정 가능).</x:t>
        </x:is>
      </x:c>
      <x:c r="B5" s="22" t="n"/>
      <x:c r="C5" s="22" t="n"/>
      <x:c r="D5" s="22" t="n"/>
      <x:c r="E5" s="22" t="n"/>
      <x:c r="F5" s="22" t="n"/>
      <x:c r="G5" s="22" t="n"/>
      <x:c r="H5" s="23" t="n"/>
    </x:row>
    <x:row r="6">
      <x:c r="A6" s="3" t="inlineStr">
        <x:is>
          <x:t xml:space="preserve">• MS Graph/Outlook 연동은 권한/인증/정책/실패처리 리스크를 고려해 ‘초상’으로 분류(버퍼율 상향).</x:t>
        </x:is>
      </x:c>
      <x:c r="B6" s="22" t="n"/>
      <x:c r="C6" s="22" t="n"/>
      <x:c r="D6" s="22" t="n"/>
      <x:c r="E6" s="22" t="n"/>
      <x:c r="F6" s="22" t="n"/>
      <x:c r="G6" s="22" t="n"/>
      <x:c r="H6" s="23" t="n"/>
    </x:row>
    <x:row r="7">
      <x:c r="A7" s="3" t="inlineStr">
        <x:is>
          <x:t xml:space="preserve">• 진행률(%)을 입력하면 완료/잔여 공수 및 전체 진행률이 자동 집계됨.</x:t>
        </x:is>
      </x:c>
      <x:c r="B7" s="22" t="n"/>
      <x:c r="C7" s="22" t="n"/>
      <x:c r="D7" s="22" t="n"/>
      <x:c r="E7" s="22" t="n"/>
      <x:c r="F7" s="22" t="n"/>
      <x:c r="G7" s="22" t="n"/>
      <x:c r="H7" s="23" t="n"/>
    </x:row>
    <x:row r="9">
      <x:c r="A9" s="2" t="inlineStr">
        <x:is>
          <x:t xml:space="preserve">집계(현재 진행 현황)</x:t>
        </x:is>
      </x:c>
      <x:c r="B9" s="22" t="n"/>
      <x:c r="C9" s="22" t="n"/>
      <x:c r="D9" s="22" t="n"/>
      <x:c r="E9" s="22" t="n"/>
      <x:c r="F9" s="22" t="n"/>
      <x:c r="G9" s="22" t="n"/>
      <x:c r="H9" s="23" t="n"/>
    </x:row>
    <x:row r="11">
      <x:c r="A11" s="4" t="inlineStr">
        <x:is>
          <x:t xml:space="preserve">기준일(As-of)</x:t>
        </x:is>
      </x:c>
      <x:c r="B11" s="5">
        <x:f>Assumptions!G10</x:f>
        <x:v>46008</x:v>
      </x:c>
      <x:c r="D11" s="4" t="inlineStr">
        <x:is>
          <x:t xml:space="preserve">사용 방법</x:t>
        </x:is>
      </x:c>
      <x:c r="E11" s="22" t="n"/>
      <x:c r="F11" s="22" t="n"/>
      <x:c r="G11" s="22" t="n"/>
      <x:c r="H11" s="23" t="n"/>
    </x:row>
    <x:row r="12">
      <x:c r="A12" s="4" t="inlineStr">
        <x:is>
          <x:t xml:space="preserve">총 최종공수(일)</x:t>
        </x:is>
      </x:c>
      <x:c r="B12" s="6">
        <x:f>SUM(WBS!$P$2:$P$114)</x:f>
        <x:v>255</x:v>
      </x:c>
      <x:c r="D12" s="3" t="inlineStr">
        <x:is>
          <x:t xml:space="preserve">1) WBS 시트에서 '진행률(%)'과 필요 시 '조정공수'를 입력</x:t>
        </x:is>
      </x:c>
      <x:c r="E12" s="22" t="n"/>
      <x:c r="F12" s="22" t="n"/>
      <x:c r="G12" s="22" t="n"/>
      <x:c r="H12" s="23" t="n"/>
    </x:row>
    <x:row r="13">
      <x:c r="A13" s="4" t="inlineStr">
        <x:is>
          <x:t xml:space="preserve">완료공수(일)</x:t>
        </x:is>
      </x:c>
      <x:c r="B13" s="6">
        <x:f>SUM(WBS!$R$2:$R$114)</x:f>
        <x:v>0</x:v>
      </x:c>
      <x:c r="D13" s="3" t="inlineStr">
        <x:is>
          <x:t xml:space="preserve">2) (선택) '계획시작일' 입력 시 종료일 자동 계산</x:t>
        </x:is>
      </x:c>
      <x:c r="E13" s="22" t="n"/>
      <x:c r="F13" s="22" t="n"/>
      <x:c r="G13" s="22" t="n"/>
      <x:c r="H13" s="23" t="n"/>
    </x:row>
    <x:row r="14">
      <x:c r="A14" s="4" t="inlineStr">
        <x:is>
          <x:t xml:space="preserve">잔여공수(일)</x:t>
        </x:is>
      </x:c>
      <x:c r="B14" s="6">
        <x:f>B12-B13</x:f>
        <x:v>255</x:v>
      </x:c>
      <x:c r="D14" s="3" t="inlineStr">
        <x:is>
          <x:t xml:space="preserve">3) Overview에서 총 공수/진행/잔여 자동 확인</x:t>
        </x:is>
      </x:c>
      <x:c r="E14" s="22" t="n"/>
      <x:c r="F14" s="22" t="n"/>
      <x:c r="G14" s="22" t="n"/>
      <x:c r="H14" s="23" t="n"/>
    </x:row>
    <x:row r="15">
      <x:c r="A15" s="4" t="inlineStr">
        <x:is>
          <x:t xml:space="preserve">전체 진행률(가중치: 공수)</x:t>
        </x:is>
      </x:c>
      <x:c r="B15" s="7">
        <x:f>IF(B12=0,0,B13/B12)</x:f>
        <x:v>0</x:v>
      </x:c>
    </x:row>
    <x:row r="17">
      <x:c r="A17" s="24" t="inlineStr">
        <x:is>
          <x:t xml:space="preserve">상태별 건수</x:t>
        </x:is>
      </x:c>
    </x:row>
    <x:row r="19">
      <x:c r="A19" s="4" t="inlineStr">
        <x:is>
          <x:t xml:space="preserve">완료</x:t>
        </x:is>
      </x:c>
      <x:c r="B19" s="25">
        <x:f>COUNTIF(WBS!$T$2:$T$114,"완료")</x:f>
        <x:v>0</x:v>
      </x:c>
      <x:c r="D19" s="26" t="inlineStr">
        <x:is>
          <x:t xml:space="preserve">단계별 공수/진행</x:t>
        </x:is>
      </x:c>
    </x:row>
    <x:row r="20">
      <x:c r="A20" s="4" t="inlineStr">
        <x:is>
          <x:t xml:space="preserve">진행중</x:t>
        </x:is>
      </x:c>
      <x:c r="B20" s="25">
        <x:f>COUNTIF(WBS!$T$2:$T$114,"진행중")</x:f>
        <x:v>0</x:v>
      </x:c>
      <x:c r="D20" s="27" t="inlineStr">
        <x:is>
          <x:t xml:space="preserve">단계</x:t>
        </x:is>
      </x:c>
      <x:c r="E20" s="27" t="inlineStr">
        <x:is>
          <x:t xml:space="preserve">총공수(일)</x:t>
        </x:is>
      </x:c>
      <x:c r="F20" s="27" t="inlineStr">
        <x:is>
          <x:t xml:space="preserve">완료(일)</x:t>
        </x:is>
      </x:c>
      <x:c r="G20" s="27" t="inlineStr">
        <x:is>
          <x:t xml:space="preserve">진행률</x:t>
        </x:is>
      </x:c>
      <x:c r="H20" s="27" t="inlineStr">
        <x:is>
          <x:t xml:space="preserve">잔여(일)</x:t>
        </x:is>
      </x:c>
    </x:row>
    <x:row r="21">
      <x:c r="A21" s="4" t="inlineStr">
        <x:is>
          <x:t xml:space="preserve">미착수</x:t>
        </x:is>
      </x:c>
      <x:c r="B21" s="25">
        <x:f>COUNTIF(WBS!$T$2:$T$114,"미착수")</x:f>
        <x:v>49</x:v>
      </x:c>
      <x:c r="D21" s="25" t="inlineStr">
        <x:is>
          <x:t xml:space="preserve">착수/관리</x:t>
        </x:is>
      </x:c>
      <x:c r="E21" s="25">
        <x:f>SUMIF(WBS!$B$2:$B$114,$D21,WBS!$P$2:$P$114)</x:f>
        <x:v>2</x:v>
      </x:c>
      <x:c r="F21" s="25" t="str">
        <x:f>SUMIF(WBS!$B$2:$B$114,$D21,WBS!$R$2:$R$114)</x:f>
        <x:v>0</x:v>
      </x:c>
      <x:c r="G21" s="28">
        <x:f>IF($E21=0,0,$F21/$E21)</x:f>
        <x:v>0</x:v>
      </x:c>
      <x:c r="H21" s="25">
        <x:f>$E21-$F21</x:f>
        <x:v>2</x:v>
      </x:c>
    </x:row>
    <x:row r="22">
      <x:c r="D22" s="25" t="inlineStr">
        <x:is>
          <x:t xml:space="preserve">요구사항</x:t>
        </x:is>
      </x:c>
      <x:c r="E22" s="25">
        <x:f>SUMIF(WBS!$B$2:$B$114,$D22,WBS!$P$2:$P$114)</x:f>
        <x:v>0</x:v>
      </x:c>
      <x:c r="F22" s="25">
        <x:f>SUMIF(WBS!$B$2:$B$114,$D22,WBS!$R$2:$R$114)</x:f>
        <x:v>0</x:v>
      </x:c>
      <x:c r="G22" s="28">
        <x:f>IF($E22=0,0,$F22/$E22)</x:f>
        <x:v>0</x:v>
      </x:c>
      <x:c r="H22" s="25">
        <x:f>$E22-$F22</x:f>
        <x:v>0</x:v>
      </x:c>
    </x:row>
    <x:row r="23">
      <x:c r="D23" s="25" t="inlineStr">
        <x:is>
          <x:t xml:space="preserve">설계</x:t>
        </x:is>
      </x:c>
      <x:c r="E23" s="25">
        <x:f>SUMIF(WBS!$B$2:$B$114,$D23,WBS!$P$2:$P$114)</x:f>
        <x:v>0</x:v>
      </x:c>
      <x:c r="F23" s="25">
        <x:f>SUMIF(WBS!$B$2:$B$114,$D23,WBS!$R$2:$R$114)</x:f>
        <x:v>0</x:v>
      </x:c>
      <x:c r="G23" s="28">
        <x:f>IF($E23=0,0,$F23/$E23)</x:f>
        <x:v>0</x:v>
      </x:c>
      <x:c r="H23" s="25">
        <x:f>$E23-$F23</x:f>
        <x:v>0</x:v>
      </x:c>
    </x:row>
    <x:row r="24">
      <x:c r="D24" s="25" t="inlineStr">
        <x:is>
          <x:t xml:space="preserve">개발</x:t>
        </x:is>
      </x:c>
      <x:c r="E24" s="25">
        <x:f>SUMIF(WBS!$B$2:$B$114,$D24,WBS!$P$2:$P$114)</x:f>
        <x:v>0</x:v>
      </x:c>
      <x:c r="F24" s="25">
        <x:f>SUMIF(WBS!$B$2:$B$114,$D24,WBS!$R$2:$R$114)</x:f>
        <x:v>0</x:v>
      </x:c>
      <x:c r="G24" s="28">
        <x:f>IF($E24=0,0,$F24/$E24)</x:f>
        <x:v>0</x:v>
      </x:c>
      <x:c r="H24" s="25">
        <x:f>$E24-$F24</x:f>
        <x:v>0</x:v>
      </x:c>
    </x:row>
    <x:row r="25">
      <x:c r="D25" s="25" t="inlineStr">
        <x:is>
          <x:t xml:space="preserve">연동</x:t>
        </x:is>
      </x:c>
      <x:c r="E25" s="25">
        <x:f>SUMIF(WBS!$B$2:$B$114,$D25,WBS!$P$2:$P$114)</x:f>
        <x:v>0</x:v>
      </x:c>
      <x:c r="F25" s="25">
        <x:f>SUMIF(WBS!$B$2:$B$114,$D25,WBS!$R$2:$R$114)</x:f>
        <x:v>0</x:v>
      </x:c>
      <x:c r="G25" s="28">
        <x:f>IF($E25=0,0,$F25/$E25)</x:f>
        <x:v>0</x:v>
      </x:c>
      <x:c r="H25" s="25">
        <x:f>$E25-$F25</x:f>
        <x:v>0</x:v>
      </x:c>
    </x:row>
    <x:row r="26">
      <x:c r="D26" s="25" t="inlineStr">
        <x:is>
          <x:t xml:space="preserve">확장</x:t>
        </x:is>
      </x:c>
      <x:c r="E26" s="25">
        <x:f>SUMIF(WBS!$B$2:$B$114,$D26,WBS!$P$2:$P$114)</x:f>
        <x:v>0</x:v>
      </x:c>
      <x:c r="F26" s="25">
        <x:f>SUMIF(WBS!$B$2:$B$114,$D26,WBS!$R$2:$R$114)</x:f>
        <x:v>0</x:v>
      </x:c>
      <x:c r="G26" s="28">
        <x:f>IF($E26=0,0,$F26/$E26)</x:f>
        <x:v>0</x:v>
      </x:c>
      <x:c r="H26" s="25">
        <x:f>$E26-$F26</x:f>
        <x:v>0</x:v>
      </x:c>
    </x:row>
    <x:row r="27">
      <x:c r="D27" s="25" t="inlineStr">
        <x:is>
          <x:t xml:space="preserve">테스트</x:t>
        </x:is>
      </x:c>
      <x:c r="E27" s="25">
        <x:f>SUMIF(WBS!$B$2:$B$114,$D27,WBS!$P$2:$P$114)</x:f>
        <x:v>0</x:v>
      </x:c>
      <x:c r="F27" s="25">
        <x:f>SUMIF(WBS!$B$2:$B$114,$D27,WBS!$R$2:$R$114)</x:f>
        <x:v>0</x:v>
      </x:c>
      <x:c r="G27" s="28">
        <x:f>IF($E27=0,0,$F27/$E27)</x:f>
        <x:v>0</x:v>
      </x:c>
      <x:c r="H27" s="25">
        <x:f>$E27-$F27</x:f>
        <x:v>0</x:v>
      </x:c>
    </x:row>
    <x:row r="28">
      <x:c r="D28" s="25" t="inlineStr">
        <x:is>
          <x:t xml:space="preserve">배포/전환</x:t>
        </x:is>
      </x:c>
      <x:c r="E28" s="25">
        <x:f>SUMIF(WBS!$B$2:$B$114,$D28,WBS!$P$2:$P$114)</x:f>
        <x:v>0</x:v>
      </x:c>
      <x:c r="F28" s="25">
        <x:f>SUMIF(WBS!$B$2:$B$114,$D28,WBS!$R$2:$R$114)</x:f>
        <x:v>0</x:v>
      </x:c>
      <x:c r="G28" s="28">
        <x:f>IF($E28=0,0,$F28/$E28)</x:f>
        <x:v>0</x:v>
      </x:c>
      <x:c r="H28" s="25">
        <x:f>$E28-$F28</x:f>
        <x:v>0</x:v>
      </x:c>
    </x:row>
  </x:sheetData>
  <x:mergeCells>
    <x:mergeCell ref="A9:H9"/>
    <x:mergeCell ref="A4:H4"/>
    <x:mergeCell ref="D12:H12"/>
    <x:mergeCell ref="A3:H3"/>
    <x:mergeCell ref="A1:H1"/>
    <x:mergeCell ref="A7:H7"/>
    <x:mergeCell ref="D19:H19"/>
    <x:mergeCell ref="D11:H11"/>
    <x:mergeCell ref="D13:H13"/>
    <x:mergeCell ref="D14:H14"/>
    <x:mergeCell ref="A5:H5"/>
    <x:mergeCell ref="A6:H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16" customWidth="1"/>
    <x:col min="4" max="4" width="16" customWidth="1"/>
    <x:col min="5" max="5" width="28" customWidth="1"/>
    <x:col min="6" max="6" width="38" customWidth="1"/>
    <x:col min="7" max="7" width="34" customWidth="1"/>
    <x:col min="8" max="8" width="12" customWidth="1"/>
    <x:col min="9" max="9" width="10" customWidth="1"/>
    <x:col min="10" max="10" width="8" customWidth="1"/>
    <x:col min="11" max="11" width="12" customWidth="1"/>
    <x:col min="12" max="12" width="8" customWidth="1"/>
    <x:col min="13" max="13" width="12" customWidth="1"/>
    <x:col min="14" max="14" width="12" customWidth="1"/>
    <x:col min="15" max="15" width="14" customWidth="1"/>
    <x:col min="16" max="16" width="12" customWidth="1"/>
    <x:col min="17" max="17" width="10" customWidth="1"/>
    <x:col min="18" max="18" width="12" customWidth="1"/>
    <x:col min="19" max="19" width="12" customWidth="1"/>
    <x:col min="20" max="20" width="10" customWidth="1"/>
    <x:col min="21" max="21" width="14" customWidth="1"/>
    <x:col min="22" max="22" width="14" customWidth="1"/>
    <x:col min="23" max="23" width="20" customWidth="1"/>
    <x:col min="24" max="24" width="14" customWidth="1"/>
  </x:cols>
  <x:sheetData>
    <x:row r="1">
      <x:c r="A1" s="8" t="inlineStr">
        <x:is>
          <x:t xml:space="preserve">WBS</x:t>
        </x:is>
      </x:c>
      <x:c r="B1" s="8" t="inlineStr">
        <x:is>
          <x:t xml:space="preserve">단계</x:t>
        </x:is>
      </x:c>
      <x:c r="C1" s="8" t="inlineStr">
        <x:is>
          <x:t xml:space="preserve">작업영역</x:t>
        </x:is>
      </x:c>
      <x:c r="D1" s="8" t="inlineStr">
        <x:is>
          <x:t xml:space="preserve">모듈</x:t>
        </x:is>
      </x:c>
      <x:c r="E1" s="8" t="inlineStr">
        <x:is>
          <x:t xml:space="preserve">세부작업</x:t>
        </x:is>
      </x:c>
      <x:c r="F1" s="8" t="inlineStr">
        <x:is>
          <x:t xml:space="preserve">범위/설명</x:t>
        </x:is>
      </x:c>
      <x:c r="G1" s="8" t="inlineStr">
        <x:is>
          <x:t xml:space="preserve">산정 근거(핵심 활동)</x:t>
        </x:is>
      </x:c>
      <x:c r="H1" s="8" t="inlineStr">
        <x:is>
          <x:t xml:space="preserve">선행작업</x:t>
        </x:is>
      </x:c>
      <x:c r="I1" s="8" t="inlineStr">
        <x:is>
          <x:t xml:space="preserve">담당</x:t>
        </x:is>
      </x:c>
      <x:c r="J1" s="8" t="inlineStr">
        <x:is>
          <x:t xml:space="preserve">복잡도</x:t>
        </x:is>
      </x:c>
      <x:c r="K1" s="8" t="inlineStr">
        <x:is>
          <x:t xml:space="preserve">기준공수(일)</x:t>
        </x:is>
      </x:c>
      <x:c r="L1" s="8" t="inlineStr">
        <x:is>
          <x:t xml:space="preserve">버퍼율</x:t>
        </x:is>
      </x:c>
      <x:c r="M1" s="8" t="inlineStr">
        <x:is>
          <x:t xml:space="preserve">버퍼공수(일)</x:t>
        </x:is>
      </x:c>
      <x:c r="N1" s="8" t="inlineStr">
        <x:is>
          <x:t xml:space="preserve">계산공수(일)</x:t>
        </x:is>
      </x:c>
      <x:c r="O1" s="8" t="inlineStr">
        <x:is>
          <x:t xml:space="preserve">조정공수(일,입력)</x:t>
        </x:is>
      </x:c>
      <x:c r="P1" s="8" t="inlineStr">
        <x:is>
          <x:t xml:space="preserve">최종공수(일)</x:t>
        </x:is>
      </x:c>
      <x:c r="Q1" s="8" t="inlineStr">
        <x:is>
          <x:t xml:space="preserve">진행률(%)</x:t>
        </x:is>
      </x:c>
      <x:c r="R1" s="8" t="inlineStr">
        <x:is>
          <x:t xml:space="preserve">완료공수(일)</x:t>
        </x:is>
      </x:c>
      <x:c r="S1" s="8" t="inlineStr">
        <x:is>
          <x:t xml:space="preserve">잔여공수(일)</x:t>
        </x:is>
      </x:c>
      <x:c r="T1" s="8" t="inlineStr">
        <x:is>
          <x:t xml:space="preserve">상태</x:t>
        </x:is>
      </x:c>
      <x:c r="U1" s="8" t="inlineStr">
        <x:is>
          <x:t xml:space="preserve">계획시작일(입력)</x:t>
        </x:is>
      </x:c>
      <x:c r="V1" s="8" t="inlineStr">
        <x:is>
          <x:t xml:space="preserve">계획종료일(자동)</x:t>
        </x:is>
      </x:c>
      <x:c r="W1" s="8" t="inlineStr">
        <x:is>
          <x:t xml:space="preserve">산출물</x:t>
        </x:is>
      </x:c>
      <x:c r="X1" s="8" t="inlineStr">
        <x:is>
          <x:t xml:space="preserve">참조(제안서)</x:t>
        </x:is>
      </x:c>
    </x:row>
    <x:row r="2" ht="42" customHeight="1">
      <x:c r="A2" s="9" t="inlineStr">
        <x:is>
          <x:t xml:space="preserve">1.1</x:t>
        </x:is>
      </x:c>
      <x:c r="B2" s="3" t="inlineStr">
        <x:is>
          <x:t xml:space="preserve">착수/관리</x:t>
        </x:is>
      </x:c>
      <x:c r="C2" s="3" t="inlineStr">
        <x:is>
          <x:t xml:space="preserve">프로젝트 관리</x:t>
        </x:is>
      </x:c>
      <x:c r="D2" s="3" t="inlineStr">
        <x:is>
          <x:t xml:space="preserve">Kickoff</x:t>
        </x:is>
      </x:c>
      <x:c r="E2" s="3" t="inlineStr">
        <x:is>
          <x:t xml:space="preserve">킥오프 및 범위 확정</x:t>
        </x:is>
      </x:c>
      <x:c r="F2" s="10" t="inlineStr">
        <x:is>
          <x:t xml:space="preserve">목표/범위/성공지표 합의, 이해관계자 정리</x:t>
        </x:is>
      </x:c>
      <x:c r="G2" s="10" t="inlineStr">
        <x:is>
          <x:t xml:space="preserve">프로젝트 착수 필수</x:t>
        </x:is>
      </x:c>
      <x:c r="H2" s="3" t="inlineStr">
        <x:is>
          <x:t xml:space="preserve"/>
        </x:is>
      </x:c>
      <x:c r="I2" s="3" t="inlineStr">
        <x:is>
          <x:t xml:space="preserve">PM</x:t>
        </x:is>
      </x:c>
      <x:c r="J2" s="9" t="inlineStr">
        <x:is>
          <x:t xml:space="preserve">하</x:t>
        </x:is>
      </x:c>
      <x:c r="K2" s="3">
        <x:f>IF($J2="","",VLOOKUP($J2,Assumptions!$A$11:$C$14,2,FALSE))</x:f>
        <x:v>1</x:v>
      </x:c>
      <x:c r="L2" s="11">
        <x:f>IF($J2="","",VLOOKUP($J2,Assumptions!$A$11:$C$14,3,FALSE)+Assumptions!$G$11)</x:f>
        <x:v>0.1</x:v>
      </x:c>
      <x:c r="M2" s="3">
        <x:f>IF($K2="","",ROUNDUP($K2*$L2,0))</x:f>
        <x:v>1</x:v>
      </x:c>
      <x:c r="N2" s="3">
        <x:f>IF($K2="","",$K2+$M2)</x:f>
        <x:v>2</x:v>
      </x:c>
      <x:c r="O2" s="12" t="n"/>
      <x:c r="P2" s="3">
        <x:f>IF($O2="",$N2,$O2)</x:f>
        <x:v>2</x:v>
      </x:c>
      <x:c r="Q2" s="13" t="n"/>
      <x:c r="R2" s="3">
        <x:f>IF($Q2="","",ROUND($P2*$Q2,2))</x:f>
      </x:c>
      <x:c r="S2" s="3">
        <x:f>IF($Q2="","",$P2-$R2)</x:f>
      </x:c>
      <x:c r="T2" s="9" t="str">
        <x:f>IF($Q2="","미착수",IF($Q2&gt;=1,"완료","진행중"))</x:f>
        <x:v>미착수</x:v>
      </x:c>
      <x:c r="U2" s="14" t="n"/>
      <x:c r="V2" s="15">
        <x:f>IF($U2="","",$U2+$P2-1)</x:f>
      </x:c>
      <x:c r="W2" s="3" t="inlineStr">
        <x:is>
          <x:t xml:space="preserve">Kickoff 회의록/범위정의</x:t>
        </x:is>
      </x:c>
      <x:c r="X2" s="3" t="inlineStr">
        <x:is>
          <x:t xml:space="preserve">p2</x:t>
        </x:is>
      </x:c>
    </x:row>
    <x:row r="3" ht="42" customHeight="1">
      <x:c r="A3" s="9" t="inlineStr">
        <x:is>
          <x:t xml:space="preserve">1.2</x:t>
        </x:is>
      </x:c>
      <x:c r="B3" s="3" t="inlineStr">
        <x:is>
          <x:t xml:space="preserve">착수/관리</x:t>
        </x:is>
      </x:c>
      <x:c r="C3" s="3" t="inlineStr">
        <x:is>
          <x:t xml:space="preserve">프로젝트 관리</x:t>
        </x:is>
      </x:c>
      <x:c r="D3" s="3" t="inlineStr">
        <x:is>
          <x:t xml:space="preserve">Plan</x:t>
        </x:is>
      </x:c>
      <x:c r="E3" s="3" t="inlineStr">
        <x:is>
          <x:t xml:space="preserve">WBS/일정/마일스톤 수립</x:t>
        </x:is>
      </x:c>
      <x:c r="F3" s="10" t="inlineStr">
        <x:is>
          <x:t xml:space="preserve">단계별 일정과 산출물, 의사결정 일정 수립</x:t>
        </x:is>
      </x:c>
      <x:c r="G3" s="10" t="inlineStr">
        <x:is>
          <x:t xml:space="preserve">실행계획 수립</x:t>
        </x:is>
      </x:c>
      <x:c r="H3" s="3" t="inlineStr">
        <x:is>
          <x:t xml:space="preserve">1.1</x:t>
        </x:is>
      </x:c>
      <x:c r="I3" s="3" t="inlineStr">
        <x:is>
          <x:t xml:space="preserve">PM</x:t>
        </x:is>
      </x:c>
      <x:c r="J3" s="9" t="inlineStr">
        <x:is>
          <x:t xml:space="preserve">중</x:t>
        </x:is>
      </x:c>
      <x:c r="K3" s="3">
        <x:f>IF($J3="","",VLOOKUP($J3,Assumptions!$A$11:$C$14,2,FALSE))</x:f>
        <x:v>3</x:v>
      </x:c>
      <x:c r="L3" s="11">
        <x:f>IF($J3="","",VLOOKUP($J3,Assumptions!$A$11:$C$14,3,FALSE)+Assumptions!$G$11)</x:f>
        <x:v>0.15</x:v>
      </x:c>
      <x:c r="M3" s="3">
        <x:f>IF($K3="","",ROUNDUP($K3*$L3,0))</x:f>
        <x:v>1</x:v>
      </x:c>
      <x:c r="N3" s="3">
        <x:f>IF($K3="","",$K3+$M3)</x:f>
        <x:v>4</x:v>
      </x:c>
      <x:c r="O3" s="12" t="n"/>
      <x:c r="P3" s="3">
        <x:f>IF($O3="",$N3,$O3)</x:f>
        <x:v>4</x:v>
      </x:c>
      <x:c r="Q3" s="13" t="n"/>
      <x:c r="R3" s="3">
        <x:f>IF($Q3="","",ROUND($P3*$Q3,2))</x:f>
      </x:c>
      <x:c r="S3" s="3">
        <x:f>IF($Q3="","",$P3-$R3)</x:f>
      </x:c>
      <x:c r="T3" s="9" t="str">
        <x:f>IF($Q3="","미착수",IF($Q3&gt;=1,"완료","진행중"))</x:f>
        <x:v>미착수</x:v>
      </x:c>
      <x:c r="U3" s="14" t="n"/>
      <x:c r="V3" s="15">
        <x:f>IF($U3="","",$U3+$P3-1)</x:f>
      </x:c>
      <x:c r="W3" s="3" t="inlineStr">
        <x:is>
          <x:t xml:space="preserve">프로젝트 계획서</x:t>
        </x:is>
      </x:c>
      <x:c r="X3" s="3" t="inlineStr">
        <x:is>
          <x:t xml:space="preserve">p2</x:t>
        </x:is>
      </x:c>
    </x:row>
    <x:row r="4" ht="42" customHeight="1">
      <x:c r="A4" s="9" t="inlineStr">
        <x:is>
          <x:t xml:space="preserve">1.3</x:t>
        </x:is>
      </x:c>
      <x:c r="B4" s="3" t="inlineStr">
        <x:is>
          <x:t xml:space="preserve">착수/관리</x:t>
        </x:is>
      </x:c>
      <x:c r="C4" s="3" t="inlineStr">
        <x:is>
          <x:t xml:space="preserve">프로젝트 관리</x:t>
        </x:is>
      </x:c>
      <x:c r="D4" s="3" t="inlineStr">
        <x:is>
          <x:t xml:space="preserve">Governance</x:t>
        </x:is>
      </x:c>
      <x:c r="E4" s="3" t="inlineStr">
        <x:is>
          <x:t xml:space="preserve">RACI/의사결정 체계 수립</x:t>
        </x:is>
      </x:c>
      <x:c r="F4" s="10" t="inlineStr">
        <x:is>
          <x:t xml:space="preserve">작성자/승인자/관리자 역할과 승인 라인 정의</x:t>
        </x:is>
      </x:c>
      <x:c r="G4" s="10" t="inlineStr">
        <x:is>
          <x:t xml:space="preserve">승인 체계 존재(p5)</x:t>
        </x:is>
      </x:c>
      <x:c r="H4" s="3" t="inlineStr">
        <x:is>
          <x:t xml:space="preserve">1.1</x:t>
        </x:is>
      </x:c>
      <x:c r="I4" s="3" t="inlineStr">
        <x:is>
          <x:t xml:space="preserve">PM</x:t>
        </x:is>
      </x:c>
      <x:c r="J4" s="9" t="inlineStr">
        <x:is>
          <x:t xml:space="preserve">중</x:t>
        </x:is>
      </x:c>
      <x:c r="K4" s="3">
        <x:f>IF($J4="","",VLOOKUP($J4,Assumptions!$A$11:$C$14,2,FALSE))</x:f>
        <x:v>3</x:v>
      </x:c>
      <x:c r="L4" s="11">
        <x:f>IF($J4="","",VLOOKUP($J4,Assumptions!$A$11:$C$14,3,FALSE)+Assumptions!$G$11)</x:f>
        <x:v>0.15</x:v>
      </x:c>
      <x:c r="M4" s="3">
        <x:f>IF($K4="","",ROUNDUP($K4*$L4,0))</x:f>
        <x:v>1</x:v>
      </x:c>
      <x:c r="N4" s="3">
        <x:f>IF($K4="","",$K4+$M4)</x:f>
        <x:v>4</x:v>
      </x:c>
      <x:c r="O4" s="12" t="n"/>
      <x:c r="P4" s="3">
        <x:f>IF($O4="",$N4,$O4)</x:f>
        <x:v>4</x:v>
      </x:c>
      <x:c r="Q4" s="13" t="n"/>
      <x:c r="R4" s="3">
        <x:f>IF($Q4="","",ROUND($P4*$Q4,2))</x:f>
      </x:c>
      <x:c r="S4" s="3">
        <x:f>IF($Q4="","",$P4-$R4)</x:f>
      </x:c>
      <x:c r="T4" s="9" t="str">
        <x:f>IF($Q4="","미착수",IF($Q4&gt;=1,"완료","진행중"))</x:f>
        <x:v>미착수</x:v>
      </x:c>
      <x:c r="U4" s="14" t="n"/>
      <x:c r="V4" s="15">
        <x:f>IF($U4="","",$U4+$P4-1)</x:f>
      </x:c>
      <x:c r="W4" s="3" t="inlineStr">
        <x:is>
          <x:t xml:space="preserve">RACI/거버넌스 문서</x:t>
        </x:is>
      </x:c>
      <x:c r="X4" s="3" t="inlineStr">
        <x:is>
          <x:t xml:space="preserve">p5</x:t>
        </x:is>
      </x:c>
    </x:row>
    <x:row r="5" ht="42" customHeight="1">
      <x:c r="A5" s="9" t="inlineStr">
        <x:is>
          <x:t xml:space="preserve">1.4</x:t>
        </x:is>
      </x:c>
      <x:c r="B5" s="3" t="inlineStr">
        <x:is>
          <x:t xml:space="preserve">착수/관리</x:t>
        </x:is>
      </x:c>
      <x:c r="C5" s="3" t="inlineStr">
        <x:is>
          <x:t xml:space="preserve">프로젝트 관리</x:t>
        </x:is>
      </x:c>
      <x:c r="D5" s="3" t="inlineStr">
        <x:is>
          <x:t xml:space="preserve">Risk</x:t>
        </x:is>
      </x:c>
      <x:c r="E5" s="3" t="inlineStr">
        <x:is>
          <x:t xml:space="preserve">리스크/이슈/변경관리 체계 수립</x:t>
        </x:is>
      </x:c>
      <x:c r="F5" s="10" t="inlineStr">
        <x:is>
          <x:t xml:space="preserve">Graph 권한/메일 정책 등 리스크 등록 및 대응 계획</x:t>
        </x:is>
      </x:c>
      <x:c r="G5" s="10" t="inlineStr">
        <x:is>
          <x:t xml:space="preserve">외부연동 리스크 관리 필요(p3)</x:t>
        </x:is>
      </x:c>
      <x:c r="H5" s="3" t="inlineStr">
        <x:is>
          <x:t xml:space="preserve">1.2</x:t>
        </x:is>
      </x:c>
      <x:c r="I5" s="3" t="inlineStr">
        <x:is>
          <x:t xml:space="preserve">PM</x:t>
        </x:is>
      </x:c>
      <x:c r="J5" s="9" t="inlineStr">
        <x:is>
          <x:t xml:space="preserve">중</x:t>
        </x:is>
      </x:c>
      <x:c r="K5" s="3">
        <x:f>IF($J5="","",VLOOKUP($J5,Assumptions!$A$11:$C$14,2,FALSE))</x:f>
        <x:v>3</x:v>
      </x:c>
      <x:c r="L5" s="11">
        <x:f>IF($J5="","",VLOOKUP($J5,Assumptions!$A$11:$C$14,3,FALSE)+Assumptions!$G$11)</x:f>
        <x:v>0.15</x:v>
      </x:c>
      <x:c r="M5" s="3">
        <x:f>IF($K5="","",ROUNDUP($K5*$L5,0))</x:f>
        <x:v>1</x:v>
      </x:c>
      <x:c r="N5" s="3">
        <x:f>IF($K5="","",$K5+$M5)</x:f>
        <x:v>4</x:v>
      </x:c>
      <x:c r="O5" s="12" t="n"/>
      <x:c r="P5" s="3">
        <x:f>IF($O5="",$N5,$O5)</x:f>
        <x:v>4</x:v>
      </x:c>
      <x:c r="Q5" s="13" t="n"/>
      <x:c r="R5" s="3">
        <x:f>IF($Q5="","",ROUND($P5*$Q5,2))</x:f>
      </x:c>
      <x:c r="S5" s="3">
        <x:f>IF($Q5="","",$P5-$R5)</x:f>
      </x:c>
      <x:c r="T5" s="9" t="str">
        <x:f>IF($Q5="","미착수",IF($Q5&gt;=1,"완료","진행중"))</x:f>
        <x:v>미착수</x:v>
      </x:c>
      <x:c r="U5" s="14" t="n"/>
      <x:c r="V5" s="15">
        <x:f>IF($U5="","",$U5+$P5-1)</x:f>
      </x:c>
      <x:c r="W5" s="3" t="inlineStr">
        <x:is>
          <x:t xml:space="preserve">리스크/이슈 로그</x:t>
        </x:is>
      </x:c>
      <x:c r="X5" s="3" t="inlineStr">
        <x:is>
          <x:t xml:space="preserve">p3</x:t>
        </x:is>
      </x:c>
    </x:row>
    <x:row r="6" ht="42" customHeight="1">
      <x:c r="A6" s="9" t="inlineStr">
        <x:is>
          <x:t xml:space="preserve">1.5</x:t>
        </x:is>
      </x:c>
      <x:c r="B6" s="3" t="inlineStr">
        <x:is>
          <x:t xml:space="preserve">착수/관리</x:t>
        </x:is>
      </x:c>
      <x:c r="C6" s="3" t="inlineStr">
        <x:is>
          <x:t xml:space="preserve">프로젝트 관리</x:t>
        </x:is>
      </x:c>
      <x:c r="D6" s="3" t="inlineStr">
        <x:is>
          <x:t xml:space="preserve">Env</x:t>
        </x:is>
      </x:c>
      <x:c r="E6" s="3" t="inlineStr">
        <x:is>
          <x:t xml:space="preserve">개발/검증/운영 환경 계획</x:t>
        </x:is>
      </x:c>
      <x:c r="F6" s="10" t="inlineStr">
        <x:is>
          <x:t xml:space="preserve">DEV/UAT/PRD 환경, 계정/권한/배포 방식 정의</x:t>
        </x:is>
      </x:c>
      <x:c r="G6" s="10" t="inlineStr">
        <x:is>
          <x:t xml:space="preserve">운영 반영 전 단계 필요</x:t>
        </x:is>
      </x:c>
      <x:c r="H6" s="3" t="inlineStr">
        <x:is>
          <x:t xml:space="preserve">1.2</x:t>
        </x:is>
      </x:c>
      <x:c r="I6" s="3" t="inlineStr">
        <x:is>
          <x:t xml:space="preserve">Arch/Infra</x:t>
        </x:is>
      </x:c>
      <x:c r="J6" s="9" t="inlineStr">
        <x:is>
          <x:t xml:space="preserve">중</x:t>
        </x:is>
      </x:c>
      <x:c r="K6" s="3">
        <x:f>IF($J6="","",VLOOKUP($J6,Assumptions!$A$11:$C$14,2,FALSE))</x:f>
        <x:v>3</x:v>
      </x:c>
      <x:c r="L6" s="11">
        <x:f>IF($J6="","",VLOOKUP($J6,Assumptions!$A$11:$C$14,3,FALSE)+Assumptions!$G$11)</x:f>
        <x:v>0.15</x:v>
      </x:c>
      <x:c r="M6" s="3">
        <x:f>IF($K6="","",ROUNDUP($K6*$L6,0))</x:f>
        <x:v>1</x:v>
      </x:c>
      <x:c r="N6" s="3">
        <x:f>IF($K6="","",$K6+$M6)</x:f>
        <x:v>4</x:v>
      </x:c>
      <x:c r="O6" s="12" t="n"/>
      <x:c r="P6" s="3">
        <x:f>IF($O6="",$N6,$O6)</x:f>
        <x:v>4</x:v>
      </x:c>
      <x:c r="Q6" s="13" t="n"/>
      <x:c r="R6" s="3">
        <x:f>IF($Q6="","",ROUND($P6*$Q6,2))</x:f>
      </x:c>
      <x:c r="S6" s="3">
        <x:f>IF($Q6="","",$P6-$R6)</x:f>
      </x:c>
      <x:c r="T6" s="9" t="str">
        <x:f>IF($Q6="","미착수",IF($Q6&gt;=1,"완료","진행중"))</x:f>
        <x:v>미착수</x:v>
      </x:c>
      <x:c r="U6" s="14" t="n"/>
      <x:c r="V6" s="15">
        <x:f>IF($U6="","",$U6+$P6-1)</x:f>
      </x:c>
      <x:c r="W6" s="3" t="inlineStr">
        <x:is>
          <x:t xml:space="preserve">환경구성안</x:t>
        </x:is>
      </x:c>
      <x:c r="X6" s="3" t="inlineStr">
        <x:is>
          <x:t xml:space="preserve">p2</x:t>
        </x:is>
      </x:c>
    </x:row>
    <x:row r="7" ht="42" customHeight="1">
      <x:c r="A7" s="9" t="inlineStr">
        <x:is>
          <x:t xml:space="preserve">2.1</x:t>
        </x:is>
      </x:c>
      <x:c r="B7" s="3" t="inlineStr">
        <x:is>
          <x:t xml:space="preserve">요구사항</x:t>
        </x:is>
      </x:c>
      <x:c r="C7" s="3" t="inlineStr">
        <x:is>
          <x:t xml:space="preserve">업무분석</x:t>
        </x:is>
      </x:c>
      <x:c r="D7" s="3" t="inlineStr">
        <x:is>
          <x:t xml:space="preserve">Process</x:t>
        </x:is>
      </x:c>
      <x:c r="E7" s="3" t="inlineStr">
        <x:is>
          <x:t xml:space="preserve">AS-IS 공지 업무 흐름 파악</x:t>
        </x:is>
      </x:c>
      <x:c r="F7" s="10" t="inlineStr">
        <x:is>
          <x:t xml:space="preserve">공지 작성-승인-발송-이력 현행 절차/문제점 정리</x:t>
        </x:is>
      </x:c>
      <x:c r="G7" s="10" t="inlineStr">
        <x:is>
          <x:t xml:space="preserve">개선 목적 정의(p2)</x:t>
        </x:is>
      </x:c>
      <x:c r="H7" s="3" t="inlineStr">
        <x:is>
          <x:t xml:space="preserve">1.1</x:t>
        </x:is>
      </x:c>
      <x:c r="I7" s="3" t="inlineStr">
        <x:is>
          <x:t xml:space="preserve">PM/업무</x:t>
        </x:is>
      </x:c>
      <x:c r="J7" s="9" t="inlineStr">
        <x:is>
          <x:t xml:space="preserve">중</x:t>
        </x:is>
      </x:c>
      <x:c r="K7" s="3">
        <x:f>IF($J7="","",VLOOKUP($J7,Assumptions!$A$11:$C$14,2,FALSE))</x:f>
        <x:v>3</x:v>
      </x:c>
      <x:c r="L7" s="11">
        <x:f>IF($J7="","",VLOOKUP($J7,Assumptions!$A$11:$C$14,3,FALSE)+Assumptions!$G$11)</x:f>
        <x:v>0.15</x:v>
      </x:c>
      <x:c r="M7" s="3">
        <x:f>IF($K7="","",ROUNDUP($K7*$L7,0))</x:f>
        <x:v>1</x:v>
      </x:c>
      <x:c r="N7" s="3">
        <x:f>IF($K7="","",$K7+$M7)</x:f>
        <x:v>4</x:v>
      </x:c>
      <x:c r="O7" s="12" t="n"/>
      <x:c r="P7" s="3">
        <x:f>IF($O7="",$N7,$O7)</x:f>
        <x:v>4</x:v>
      </x:c>
      <x:c r="Q7" s="13" t="n"/>
      <x:c r="R7" s="3">
        <x:f>IF($Q7="","",ROUND($P7*$Q7,2))</x:f>
      </x:c>
      <x:c r="S7" s="3">
        <x:f>IF($Q7="","",$P7-$R7)</x:f>
      </x:c>
      <x:c r="T7" s="9" t="str">
        <x:f>IF($Q7="","미착수",IF($Q7&gt;=1,"완료","진행중"))</x:f>
        <x:v>미착수</x:v>
      </x:c>
      <x:c r="U7" s="14" t="n"/>
      <x:c r="V7" s="15">
        <x:f>IF($U7="","",$U7+$P7-1)</x:f>
      </x:c>
      <x:c r="W7" s="3" t="inlineStr">
        <x:is>
          <x:t xml:space="preserve">AS-IS 프로세스</x:t>
        </x:is>
      </x:c>
      <x:c r="X7" s="3" t="inlineStr">
        <x:is>
          <x:t xml:space="preserve">p2</x:t>
        </x:is>
      </x:c>
    </x:row>
    <x:row r="8" ht="42" customHeight="1">
      <x:c r="A8" s="9" t="inlineStr">
        <x:is>
          <x:t xml:space="preserve">2.2</x:t>
        </x:is>
      </x:c>
      <x:c r="B8" s="3" t="inlineStr">
        <x:is>
          <x:t xml:space="preserve">요구사항</x:t>
        </x:is>
      </x:c>
      <x:c r="C8" s="3" t="inlineStr">
        <x:is>
          <x:t xml:space="preserve">업무분석</x:t>
        </x:is>
      </x:c>
      <x:c r="D8" s="3" t="inlineStr">
        <x:is>
          <x:t xml:space="preserve">Process</x:t>
        </x:is>
      </x:c>
      <x:c r="E8" s="3" t="inlineStr">
        <x:is>
          <x:t xml:space="preserve">TO-BE 프로세스(1~6단계) 정의</x:t>
        </x:is>
      </x:c>
      <x:c r="F8" s="10" t="inlineStr">
        <x:is>
          <x:t xml:space="preserve">공지등록-승인-메일발송-캘린더등록-대시보드 집계</x:t>
        </x:is>
      </x:c>
      <x:c r="G8" s="10" t="inlineStr">
        <x:is>
          <x:t xml:space="preserve">제안서 Step 1~6(p2)</x:t>
        </x:is>
      </x:c>
      <x:c r="H8" s="3" t="inlineStr">
        <x:is>
          <x:t xml:space="preserve">2.1</x:t>
        </x:is>
      </x:c>
      <x:c r="I8" s="3" t="inlineStr">
        <x:is>
          <x:t xml:space="preserve">PM/업무</x:t>
        </x:is>
      </x:c>
      <x:c r="J8" s="9" t="inlineStr">
        <x:is>
          <x:t xml:space="preserve">중</x:t>
        </x:is>
      </x:c>
      <x:c r="K8" s="3">
        <x:f>IF($J8="","",VLOOKUP($J8,Assumptions!$A$11:$C$14,2,FALSE))</x:f>
        <x:v>3</x:v>
      </x:c>
      <x:c r="L8" s="11">
        <x:f>IF($J8="","",VLOOKUP($J8,Assumptions!$A$11:$C$14,3,FALSE)+Assumptions!$G$11)</x:f>
        <x:v>0.15</x:v>
      </x:c>
      <x:c r="M8" s="3">
        <x:f>IF($K8="","",ROUNDUP($K8*$L8,0))</x:f>
        <x:v>1</x:v>
      </x:c>
      <x:c r="N8" s="3">
        <x:f>IF($K8="","",$K8+$M8)</x:f>
        <x:v>4</x:v>
      </x:c>
      <x:c r="O8" s="12" t="n"/>
      <x:c r="P8" s="3">
        <x:f>IF($O8="",$N8,$O8)</x:f>
        <x:v>4</x:v>
      </x:c>
      <x:c r="Q8" s="13" t="n"/>
      <x:c r="R8" s="3">
        <x:f>IF($Q8="","",ROUND($P8*$Q8,2))</x:f>
      </x:c>
      <x:c r="S8" s="3">
        <x:f>IF($Q8="","",$P8-$R8)</x:f>
      </x:c>
      <x:c r="T8" s="9" t="str">
        <x:f>IF($Q8="","미착수",IF($Q8&gt;=1,"완료","진행중"))</x:f>
        <x:v>미착수</x:v>
      </x:c>
      <x:c r="U8" s="14" t="n"/>
      <x:c r="V8" s="15">
        <x:f>IF($U8="","",$U8+$P8-1)</x:f>
      </x:c>
      <x:c r="W8" s="3" t="inlineStr">
        <x:is>
          <x:t xml:space="preserve">TO-BE 프로세스</x:t>
        </x:is>
      </x:c>
      <x:c r="X8" s="3" t="inlineStr">
        <x:is>
          <x:t xml:space="preserve">p2</x:t>
        </x:is>
      </x:c>
    </x:row>
    <x:row r="9" ht="42" customHeight="1">
      <x:c r="A9" s="9" t="inlineStr">
        <x:is>
          <x:t xml:space="preserve">2.3</x:t>
        </x:is>
      </x:c>
      <x:c r="B9" s="3" t="inlineStr">
        <x:is>
          <x:t xml:space="preserve">요구사항</x:t>
        </x:is>
      </x:c>
      <x:c r="C9" s="3" t="inlineStr">
        <x:is>
          <x:t xml:space="preserve">기능정의</x:t>
        </x:is>
      </x:c>
      <x:c r="D9" s="3" t="inlineStr">
        <x:is>
          <x:t xml:space="preserve">Notice</x:t>
        </x:is>
      </x:c>
      <x:c r="E9" s="3" t="inlineStr">
        <x:is>
          <x:t xml:space="preserve">공지 유형/중요도/태그 정책 정의</x:t>
        </x:is>
      </x:c>
      <x:c r="F9" s="10" t="inlineStr">
        <x:is>
          <x:t xml:space="preserve">유형(일반/점검/장애/정상화/보안/인프라), 중요도(높음/중간/낮음), 해시태그</x:t>
        </x:is>
      </x:c>
      <x:c r="G9" s="10" t="inlineStr">
        <x:is>
          <x:t xml:space="preserve">입력항목(p4)</x:t>
        </x:is>
      </x:c>
      <x:c r="H9" s="3" t="inlineStr">
        <x:is>
          <x:t xml:space="preserve">2.2</x:t>
        </x:is>
      </x:c>
      <x:c r="I9" s="3" t="inlineStr">
        <x:is>
          <x:t xml:space="preserve">PM/업무</x:t>
        </x:is>
      </x:c>
      <x:c r="J9" s="9" t="inlineStr">
        <x:is>
          <x:t xml:space="preserve">중</x:t>
        </x:is>
      </x:c>
      <x:c r="K9" s="3">
        <x:f>IF($J9="","",VLOOKUP($J9,Assumptions!$A$11:$C$14,2,FALSE))</x:f>
        <x:v>3</x:v>
      </x:c>
      <x:c r="L9" s="11">
        <x:f>IF($J9="","",VLOOKUP($J9,Assumptions!$A$11:$C$14,3,FALSE)+Assumptions!$G$11)</x:f>
        <x:v>0.15</x:v>
      </x:c>
      <x:c r="M9" s="3">
        <x:f>IF($K9="","",ROUNDUP($K9*$L9,0))</x:f>
        <x:v>1</x:v>
      </x:c>
      <x:c r="N9" s="3">
        <x:f>IF($K9="","",$K9+$M9)</x:f>
        <x:v>4</x:v>
      </x:c>
      <x:c r="O9" s="12" t="n"/>
      <x:c r="P9" s="3">
        <x:f>IF($O9="",$N9,$O9)</x:f>
        <x:v>4</x:v>
      </x:c>
      <x:c r="Q9" s="13" t="n"/>
      <x:c r="R9" s="3">
        <x:f>IF($Q9="","",ROUND($P9*$Q9,2))</x:f>
      </x:c>
      <x:c r="S9" s="3">
        <x:f>IF($Q9="","",$P9-$R9)</x:f>
      </x:c>
      <x:c r="T9" s="9" t="str">
        <x:f>IF($Q9="","미착수",IF($Q9&gt;=1,"완료","진행중"))</x:f>
        <x:v>미착수</x:v>
      </x:c>
      <x:c r="U9" s="14" t="n"/>
      <x:c r="V9" s="15">
        <x:f>IF($U9="","",$U9+$P9-1)</x:f>
      </x:c>
      <x:c r="W9" s="3" t="inlineStr">
        <x:is>
          <x:t xml:space="preserve">공지 정책 정의서</x:t>
        </x:is>
      </x:c>
      <x:c r="X9" s="3" t="inlineStr">
        <x:is>
          <x:t xml:space="preserve">p4</x:t>
        </x:is>
      </x:c>
    </x:row>
    <x:row r="10" ht="42" customHeight="1">
      <x:c r="A10" s="9" t="inlineStr">
        <x:is>
          <x:t xml:space="preserve">2.4</x:t>
        </x:is>
      </x:c>
      <x:c r="B10" s="3" t="inlineStr">
        <x:is>
          <x:t xml:space="preserve">요구사항</x:t>
        </x:is>
      </x:c>
      <x:c r="C10" s="3" t="inlineStr">
        <x:is>
          <x:t xml:space="preserve">기능정의</x:t>
        </x:is>
      </x:c>
      <x:c r="D10" s="3" t="inlineStr">
        <x:is>
          <x:t xml:space="preserve">Recipients</x:t>
        </x:is>
      </x:c>
      <x:c r="E10" s="3" t="inlineStr">
        <x:is>
          <x:t xml:space="preserve">수신 법인/부서 선택 규칙 정의</x:t>
        </x:is>
      </x:c>
      <x:c r="F10" s="10" t="inlineStr">
        <x:is>
          <x:t xml:space="preserve">복수선택, 팝업 UX, 법인/부서 마스터 연계 방식</x:t>
        </x:is>
      </x:c>
      <x:c r="G10" s="10" t="inlineStr">
        <x:is>
          <x:t xml:space="preserve">입력항목(p4)</x:t>
        </x:is>
      </x:c>
      <x:c r="H10" s="3" t="inlineStr">
        <x:is>
          <x:t xml:space="preserve">2.2</x:t>
        </x:is>
      </x:c>
      <x:c r="I10" s="3" t="inlineStr">
        <x:is>
          <x:t xml:space="preserve">PM/업무</x:t>
        </x:is>
      </x:c>
      <x:c r="J10" s="9" t="inlineStr">
        <x:is>
          <x:t xml:space="preserve">중</x:t>
        </x:is>
      </x:c>
      <x:c r="K10" s="3">
        <x:f>IF($J10="","",VLOOKUP($J10,Assumptions!$A$11:$C$14,2,FALSE))</x:f>
        <x:v>3</x:v>
      </x:c>
      <x:c r="L10" s="11">
        <x:f>IF($J10="","",VLOOKUP($J10,Assumptions!$A$11:$C$14,3,FALSE)+Assumptions!$G$11)</x:f>
        <x:v>0.15</x:v>
      </x:c>
      <x:c r="M10" s="3">
        <x:f>IF($K10="","",ROUNDUP($K10*$L10,0))</x:f>
        <x:v>1</x:v>
      </x:c>
      <x:c r="N10" s="3">
        <x:f>IF($K10="","",$K10+$M10)</x:f>
        <x:v>4</x:v>
      </x:c>
      <x:c r="O10" s="12" t="n"/>
      <x:c r="P10" s="3">
        <x:f>IF($O10="",$N10,$O10)</x:f>
        <x:v>4</x:v>
      </x:c>
      <x:c r="Q10" s="13" t="n"/>
      <x:c r="R10" s="3">
        <x:f>IF($Q10="","",ROUND($P10*$Q10,2))</x:f>
      </x:c>
      <x:c r="S10" s="3">
        <x:f>IF($Q10="","",$P10-$R10)</x:f>
      </x:c>
      <x:c r="T10" s="9" t="str">
        <x:f>IF($Q10="","미착수",IF($Q10&gt;=1,"완료","진행중"))</x:f>
        <x:v>미착수</x:v>
      </x:c>
      <x:c r="U10" s="14" t="n"/>
      <x:c r="V10" s="15">
        <x:f>IF($U10="","",$U10+$P10-1)</x:f>
      </x:c>
      <x:c r="W10" s="3" t="inlineStr">
        <x:is>
          <x:t xml:space="preserve">수신대상 규칙</x:t>
        </x:is>
      </x:c>
      <x:c r="X10" s="3" t="inlineStr">
        <x:is>
          <x:t xml:space="preserve">p4</x:t>
        </x:is>
      </x:c>
    </x:row>
    <x:row r="11" ht="42" customHeight="1">
      <x:c r="A11" s="9" t="inlineStr">
        <x:is>
          <x:t xml:space="preserve">2.5</x:t>
        </x:is>
      </x:c>
      <x:c r="B11" s="3" t="inlineStr">
        <x:is>
          <x:t xml:space="preserve">요구사항</x:t>
        </x:is>
      </x:c>
      <x:c r="C11" s="3" t="inlineStr">
        <x:is>
          <x:t xml:space="preserve">기능정의</x:t>
        </x:is>
      </x:c>
      <x:c r="D11" s="3" t="inlineStr">
        <x:is>
          <x:t xml:space="preserve">SendPolicy</x:t>
        </x:is>
      </x:c>
      <x:c r="E11" s="3" t="inlineStr">
        <x:is>
          <x:t xml:space="preserve">발송 정책(정기/즉시/묶음메일) 정의</x:t>
        </x:is>
      </x:c>
      <x:c r="F11" s="10" t="inlineStr">
        <x:is>
          <x:t xml:space="preserve">정기 발송시간(예: 08:30, 17:30) + 해당 시간 등록된 공지 1메일 묶음</x:t>
        </x:is>
      </x:c>
      <x:c r="G11" s="10" t="inlineStr">
        <x:is>
          <x:t xml:space="preserve">정기발송 옵션(p4)</x:t>
        </x:is>
      </x:c>
      <x:c r="H11" s="3" t="inlineStr">
        <x:is>
          <x:t xml:space="preserve">2.2</x:t>
        </x:is>
      </x:c>
      <x:c r="I11" s="3" t="inlineStr">
        <x:is>
          <x:t xml:space="preserve">PM/업무</x:t>
        </x:is>
      </x:c>
      <x:c r="J11" s="9" t="inlineStr">
        <x:is>
          <x:t xml:space="preserve">상</x:t>
        </x:is>
      </x:c>
      <x:c r="K11" s="3">
        <x:f>IF($J11="","",VLOOKUP($J11,Assumptions!$A$11:$C$14,2,FALSE))</x:f>
        <x:v>5</x:v>
      </x:c>
      <x:c r="L11" s="11">
        <x:f>IF($J11="","",VLOOKUP($J11,Assumptions!$A$11:$C$14,3,FALSE)+Assumptions!$G$11)</x:f>
        <x:v>0.2</x:v>
      </x:c>
      <x:c r="M11" s="3">
        <x:f>IF($K11="","",ROUNDUP($K11*$L11,0))</x:f>
        <x:v>1</x:v>
      </x:c>
      <x:c r="N11" s="3">
        <x:f>IF($K11="","",$K11+$M11)</x:f>
        <x:v>6</x:v>
      </x:c>
      <x:c r="O11" s="12" t="n"/>
      <x:c r="P11" s="3">
        <x:f>IF($O11="",$N11,$O11)</x:f>
        <x:v>6</x:v>
      </x:c>
      <x:c r="Q11" s="13" t="n"/>
      <x:c r="R11" s="3">
        <x:f>IF($Q11="","",ROUND($P11*$Q11,2))</x:f>
      </x:c>
      <x:c r="S11" s="3">
        <x:f>IF($Q11="","",$P11-$R11)</x:f>
      </x:c>
      <x:c r="T11" s="9" t="str">
        <x:f>IF($Q11="","미착수",IF($Q11&gt;=1,"완료","진행중"))</x:f>
        <x:v>미착수</x:v>
      </x:c>
      <x:c r="U11" s="14" t="n"/>
      <x:c r="V11" s="15">
        <x:f>IF($U11="","",$U11+$P11-1)</x:f>
      </x:c>
      <x:c r="W11" s="3" t="inlineStr">
        <x:is>
          <x:t xml:space="preserve">발송 정책/시나리오</x:t>
        </x:is>
      </x:c>
      <x:c r="X11" s="3" t="inlineStr">
        <x:is>
          <x:t xml:space="preserve">p4</x:t>
        </x:is>
      </x:c>
    </x:row>
    <x:row r="12" ht="42" customHeight="1">
      <x:c r="A12" s="9" t="inlineStr">
        <x:is>
          <x:t xml:space="preserve">2.6</x:t>
        </x:is>
      </x:c>
      <x:c r="B12" s="3" t="inlineStr">
        <x:is>
          <x:t xml:space="preserve">요구사항</x:t>
        </x:is>
      </x:c>
      <x:c r="C12" s="3" t="inlineStr">
        <x:is>
          <x:t xml:space="preserve">기능정의</x:t>
        </x:is>
      </x:c>
      <x:c r="D12" s="3" t="inlineStr">
        <x:is>
          <x:t xml:space="preserve">Approval</x:t>
        </x:is>
      </x:c>
      <x:c r="E12" s="3" t="inlineStr">
        <x:is>
          <x:t xml:space="preserve">승인 프로세스/상태값 정의</x:t>
        </x:is>
      </x:c>
      <x:c r="F12" s="10" t="inlineStr">
        <x:is>
          <x:t xml:space="preserve">승인대기/승인/반려/발송대기/발송완료/발송실패</x:t>
        </x:is>
      </x:c>
      <x:c r="G12" s="10" t="inlineStr">
        <x:is>
          <x:t xml:space="preserve">승인체계/로그(p5)</x:t>
        </x:is>
      </x:c>
      <x:c r="H12" s="3" t="inlineStr">
        <x:is>
          <x:t xml:space="preserve">2.2</x:t>
        </x:is>
      </x:c>
      <x:c r="I12" s="3" t="inlineStr">
        <x:is>
          <x:t xml:space="preserve">PM/업무</x:t>
        </x:is>
      </x:c>
      <x:c r="J12" s="9" t="inlineStr">
        <x:is>
          <x:t xml:space="preserve">상</x:t>
        </x:is>
      </x:c>
      <x:c r="K12" s="3">
        <x:f>IF($J12="","",VLOOKUP($J12,Assumptions!$A$11:$C$14,2,FALSE))</x:f>
        <x:v>5</x:v>
      </x:c>
      <x:c r="L12" s="11">
        <x:f>IF($J12="","",VLOOKUP($J12,Assumptions!$A$11:$C$14,3,FALSE)+Assumptions!$G$11)</x:f>
        <x:v>0.2</x:v>
      </x:c>
      <x:c r="M12" s="3">
        <x:f>IF($K12="","",ROUNDUP($K12*$L12,0))</x:f>
        <x:v>1</x:v>
      </x:c>
      <x:c r="N12" s="3">
        <x:f>IF($K12="","",$K12+$M12)</x:f>
        <x:v>6</x:v>
      </x:c>
      <x:c r="O12" s="12" t="n"/>
      <x:c r="P12" s="3">
        <x:f>IF($O12="",$N12,$O12)</x:f>
        <x:v>6</x:v>
      </x:c>
      <x:c r="Q12" s="13" t="n"/>
      <x:c r="R12" s="3">
        <x:f>IF($Q12="","",ROUND($P12*$Q12,2))</x:f>
      </x:c>
      <x:c r="S12" s="3">
        <x:f>IF($Q12="","",$P12-$R12)</x:f>
      </x:c>
      <x:c r="T12" s="9" t="str">
        <x:f>IF($Q12="","미착수",IF($Q12&gt;=1,"완료","진행중"))</x:f>
        <x:v>미착수</x:v>
      </x:c>
      <x:c r="U12" s="14" t="n"/>
      <x:c r="V12" s="15">
        <x:f>IF($U12="","",$U12+$P12-1)</x:f>
      </x:c>
      <x:c r="W12" s="3" t="inlineStr">
        <x:is>
          <x:t xml:space="preserve">승인/상태 정의서</x:t>
        </x:is>
      </x:c>
      <x:c r="X12" s="3" t="inlineStr">
        <x:is>
          <x:t xml:space="preserve">p5</x:t>
        </x:is>
      </x:c>
    </x:row>
    <x:row r="13" ht="42" customHeight="1">
      <x:c r="A13" s="9" t="inlineStr">
        <x:is>
          <x:t xml:space="preserve">2.7</x:t>
        </x:is>
      </x:c>
      <x:c r="B13" s="3" t="inlineStr">
        <x:is>
          <x:t xml:space="preserve">요구사항</x:t>
        </x:is>
      </x:c>
      <x:c r="C13" s="3" t="inlineStr">
        <x:is>
          <x:t xml:space="preserve">연동정의</x:t>
        </x:is>
      </x:c>
      <x:c r="D13" s="3" t="inlineStr">
        <x:is>
          <x:t xml:space="preserve">Graph</x:t>
        </x:is>
      </x:c>
      <x:c r="E13" s="3" t="inlineStr">
        <x:is>
          <x:t xml:space="preserve">Outlook 연동 범위/자원 정의</x:t>
        </x:is>
      </x:c>
      <x:c r="F13" s="10" t="inlineStr">
        <x:is>
          <x:t xml:space="preserve">공지 전용 Mailbox/캘린더 자원, 개인 일정 영향 없음</x:t>
        </x:is>
      </x:c>
      <x:c r="G13" s="10" t="inlineStr">
        <x:is>
          <x:t xml:space="preserve">Graph 연동 개념(p3)</x:t>
        </x:is>
      </x:c>
      <x:c r="H13" s="3" t="inlineStr">
        <x:is>
          <x:t xml:space="preserve">2.2</x:t>
        </x:is>
      </x:c>
      <x:c r="I13" s="3" t="inlineStr">
        <x:is>
          <x:t xml:space="preserve">PM/Arch</x:t>
        </x:is>
      </x:c>
      <x:c r="J13" s="9" t="inlineStr">
        <x:is>
          <x:t xml:space="preserve">상</x:t>
        </x:is>
      </x:c>
      <x:c r="K13" s="3">
        <x:f>IF($J13="","",VLOOKUP($J13,Assumptions!$A$11:$C$14,2,FALSE))</x:f>
        <x:v>5</x:v>
      </x:c>
      <x:c r="L13" s="11">
        <x:f>IF($J13="","",VLOOKUP($J13,Assumptions!$A$11:$C$14,3,FALSE)+Assumptions!$G$11)</x:f>
        <x:v>0.2</x:v>
      </x:c>
      <x:c r="M13" s="3">
        <x:f>IF($K13="","",ROUNDUP($K13*$L13,0))</x:f>
        <x:v>1</x:v>
      </x:c>
      <x:c r="N13" s="3">
        <x:f>IF($K13="","",$K13+$M13)</x:f>
        <x:v>6</x:v>
      </x:c>
      <x:c r="O13" s="12" t="n"/>
      <x:c r="P13" s="3">
        <x:f>IF($O13="",$N13,$O13)</x:f>
        <x:v>6</x:v>
      </x:c>
      <x:c r="Q13" s="13" t="n"/>
      <x:c r="R13" s="3">
        <x:f>IF($Q13="","",ROUND($P13*$Q13,2))</x:f>
      </x:c>
      <x:c r="S13" s="3">
        <x:f>IF($Q13="","",$P13-$R13)</x:f>
      </x:c>
      <x:c r="T13" s="9" t="str">
        <x:f>IF($Q13="","미착수",IF($Q13&gt;=1,"완료","진행중"))</x:f>
        <x:v>미착수</x:v>
      </x:c>
      <x:c r="U13" s="14" t="n"/>
      <x:c r="V13" s="15">
        <x:f>IF($U13="","",$U13+$P13-1)</x:f>
      </x:c>
      <x:c r="W13" s="3" t="inlineStr">
        <x:is>
          <x:t xml:space="preserve">연동 범위 정의</x:t>
        </x:is>
      </x:c>
      <x:c r="X13" s="3" t="inlineStr">
        <x:is>
          <x:t xml:space="preserve">p3</x:t>
        </x:is>
      </x:c>
    </x:row>
    <x:row r="14" ht="42" customHeight="1">
      <x:c r="A14" s="9" t="inlineStr">
        <x:is>
          <x:t xml:space="preserve">2.8</x:t>
        </x:is>
      </x:c>
      <x:c r="B14" s="3" t="inlineStr">
        <x:is>
          <x:t xml:space="preserve">요구사항</x:t>
        </x:is>
      </x:c>
      <x:c r="C14" s="3" t="inlineStr">
        <x:is>
          <x:t xml:space="preserve">데이터/통계</x:t>
        </x:is>
      </x:c>
      <x:c r="D14" s="3" t="inlineStr">
        <x:is>
          <x:t xml:space="preserve">History</x:t>
        </x:is>
      </x:c>
      <x:c r="E14" s="3" t="inlineStr">
        <x:is>
          <x:t xml:space="preserve">History/로그 요구 정의</x:t>
        </x:is>
      </x:c>
      <x:c r="F14" s="10" t="inlineStr">
        <x:is>
          <x:t xml:space="preserve">발송 현황 확인, 이력 추적, 검색기간/필터</x:t>
        </x:is>
      </x:c>
      <x:c r="G14" s="10" t="inlineStr">
        <x:is>
          <x:t xml:space="preserve">History 화면(p5)</x:t>
        </x:is>
      </x:c>
      <x:c r="H14" s="3" t="inlineStr">
        <x:is>
          <x:t xml:space="preserve">2.2</x:t>
        </x:is>
      </x:c>
      <x:c r="I14" s="3" t="inlineStr">
        <x:is>
          <x:t xml:space="preserve">PM/업무</x:t>
        </x:is>
      </x:c>
      <x:c r="J14" s="9" t="inlineStr">
        <x:is>
          <x:t xml:space="preserve">중</x:t>
        </x:is>
      </x:c>
      <x:c r="K14" s="3">
        <x:f>IF($J14="","",VLOOKUP($J14,Assumptions!$A$11:$C$14,2,FALSE))</x:f>
        <x:v>3</x:v>
      </x:c>
      <x:c r="L14" s="11">
        <x:f>IF($J14="","",VLOOKUP($J14,Assumptions!$A$11:$C$14,3,FALSE)+Assumptions!$G$11)</x:f>
        <x:v>0.15</x:v>
      </x:c>
      <x:c r="M14" s="3">
        <x:f>IF($K14="","",ROUNDUP($K14*$L14,0))</x:f>
        <x:v>1</x:v>
      </x:c>
      <x:c r="N14" s="3">
        <x:f>IF($K14="","",$K14+$M14)</x:f>
        <x:v>4</x:v>
      </x:c>
      <x:c r="O14" s="12" t="n"/>
      <x:c r="P14" s="3">
        <x:f>IF($O14="",$N14,$O14)</x:f>
        <x:v>4</x:v>
      </x:c>
      <x:c r="Q14" s="13" t="n"/>
      <x:c r="R14" s="3">
        <x:f>IF($Q14="","",ROUND($P14*$Q14,2))</x:f>
      </x:c>
      <x:c r="S14" s="3">
        <x:f>IF($Q14="","",$P14-$R14)</x:f>
      </x:c>
      <x:c r="T14" s="9" t="str">
        <x:f>IF($Q14="","미착수",IF($Q14&gt;=1,"완료","진행중"))</x:f>
        <x:v>미착수</x:v>
      </x:c>
      <x:c r="U14" s="14" t="n"/>
      <x:c r="V14" s="15">
        <x:f>IF($U14="","",$U14+$P14-1)</x:f>
      </x:c>
      <x:c r="W14" s="3" t="inlineStr">
        <x:is>
          <x:t xml:space="preserve">로그 요구사항</x:t>
        </x:is>
      </x:c>
      <x:c r="X14" s="3" t="inlineStr">
        <x:is>
          <x:t xml:space="preserve">p5</x:t>
        </x:is>
      </x:c>
    </x:row>
    <x:row r="15" ht="42" customHeight="1">
      <x:c r="A15" s="9" t="inlineStr">
        <x:is>
          <x:t xml:space="preserve">2.9</x:t>
        </x:is>
      </x:c>
      <x:c r="B15" s="3" t="inlineStr">
        <x:is>
          <x:t xml:space="preserve">요구사항</x:t>
        </x:is>
      </x:c>
      <x:c r="C15" s="3" t="inlineStr">
        <x:is>
          <x:t xml:space="preserve">데이터/통계</x:t>
        </x:is>
      </x:c>
      <x:c r="D15" s="3" t="inlineStr">
        <x:is>
          <x:t xml:space="preserve">Dashboard</x:t>
        </x:is>
      </x:c>
      <x:c r="E15" s="3" t="inlineStr">
        <x:is>
          <x:t xml:space="preserve">Dashboard 지표/화면 요구 정의</x:t>
        </x:is>
      </x:c>
      <x:c r="F15" s="10" t="inlineStr">
        <x:is>
          <x:t xml:space="preserve">월간뷰/최근공지/유형통계/부서별 수신현황/점검일정</x:t>
        </x:is>
      </x:c>
      <x:c r="G15" s="10" t="inlineStr">
        <x:is>
          <x:t xml:space="preserve">Dashboard(p6-7)</x:t>
        </x:is>
      </x:c>
      <x:c r="H15" s="3" t="inlineStr">
        <x:is>
          <x:t xml:space="preserve">2.2</x:t>
        </x:is>
      </x:c>
      <x:c r="I15" s="3" t="inlineStr">
        <x:is>
          <x:t xml:space="preserve">PM/업무</x:t>
        </x:is>
      </x:c>
      <x:c r="J15" s="9" t="inlineStr">
        <x:is>
          <x:t xml:space="preserve">상</x:t>
        </x:is>
      </x:c>
      <x:c r="K15" s="3">
        <x:f>IF($J15="","",VLOOKUP($J15,Assumptions!$A$11:$C$14,2,FALSE))</x:f>
        <x:v>5</x:v>
      </x:c>
      <x:c r="L15" s="11">
        <x:f>IF($J15="","",VLOOKUP($J15,Assumptions!$A$11:$C$14,3,FALSE)+Assumptions!$G$11)</x:f>
        <x:v>0.2</x:v>
      </x:c>
      <x:c r="M15" s="3">
        <x:f>IF($K15="","",ROUNDUP($K15*$L15,0))</x:f>
        <x:v>1</x:v>
      </x:c>
      <x:c r="N15" s="3">
        <x:f>IF($K15="","",$K15+$M15)</x:f>
        <x:v>6</x:v>
      </x:c>
      <x:c r="O15" s="12" t="n"/>
      <x:c r="P15" s="3">
        <x:f>IF($O15="",$N15,$O15)</x:f>
        <x:v>6</x:v>
      </x:c>
      <x:c r="Q15" s="13" t="n"/>
      <x:c r="R15" s="3">
        <x:f>IF($Q15="","",ROUND($P15*$Q15,2))</x:f>
      </x:c>
      <x:c r="S15" s="3">
        <x:f>IF($Q15="","",$P15-$R15)</x:f>
      </x:c>
      <x:c r="T15" s="9" t="str">
        <x:f>IF($Q15="","미착수",IF($Q15&gt;=1,"완료","진행중"))</x:f>
        <x:v>미착수</x:v>
      </x:c>
      <x:c r="U15" s="14" t="n"/>
      <x:c r="V15" s="15">
        <x:f>IF($U15="","",$U15+$P15-1)</x:f>
      </x:c>
      <x:c r="W15" s="3" t="inlineStr">
        <x:is>
          <x:t xml:space="preserve">대시보드 요구사항</x:t>
        </x:is>
      </x:c>
      <x:c r="X15" s="3" t="inlineStr">
        <x:is>
          <x:t xml:space="preserve">p6-7</x:t>
        </x:is>
      </x:c>
    </x:row>
    <x:row r="16" ht="42" customHeight="1">
      <x:c r="A16" s="9" t="inlineStr">
        <x:is>
          <x:t xml:space="preserve">2.10</x:t>
        </x:is>
      </x:c>
      <x:c r="B16" s="3" t="inlineStr">
        <x:is>
          <x:t xml:space="preserve">요구사항</x:t>
        </x:is>
      </x:c>
      <x:c r="C16" s="3" t="inlineStr">
        <x:is>
          <x:t xml:space="preserve">확장</x:t>
        </x:is>
      </x:c>
      <x:c r="D16" s="3" t="inlineStr">
        <x:is>
          <x:t xml:space="preserve">Completion</x:t>
        </x:is>
      </x:c>
      <x:c r="E16" s="3" t="inlineStr">
        <x:is>
          <x:t xml:space="preserve">완료공지 연계 요구 정의</x:t>
        </x:is>
      </x:c>
      <x:c r="F16" s="10" t="inlineStr">
        <x:is>
          <x:t xml:space="preserve">점검/장애 공지의 ‘완료공지 등록’ 및 일정 완료 표시</x:t>
        </x:is>
      </x:c>
      <x:c r="G16" s="10" t="inlineStr">
        <x:is>
          <x:t xml:space="preserve">완료공지(p8)</x:t>
        </x:is>
      </x:c>
      <x:c r="H16" s="3" t="inlineStr">
        <x:is>
          <x:t xml:space="preserve">2.2</x:t>
        </x:is>
      </x:c>
      <x:c r="I16" s="3" t="inlineStr">
        <x:is>
          <x:t xml:space="preserve">PM/업무</x:t>
        </x:is>
      </x:c>
      <x:c r="J16" s="9" t="inlineStr">
        <x:is>
          <x:t xml:space="preserve">중</x:t>
        </x:is>
      </x:c>
      <x:c r="K16" s="3">
        <x:f>IF($J16="","",VLOOKUP($J16,Assumptions!$A$11:$C$14,2,FALSE))</x:f>
        <x:v>3</x:v>
      </x:c>
      <x:c r="L16" s="11">
        <x:f>IF($J16="","",VLOOKUP($J16,Assumptions!$A$11:$C$14,3,FALSE)+Assumptions!$G$11)</x:f>
        <x:v>0.15</x:v>
      </x:c>
      <x:c r="M16" s="3">
        <x:f>IF($K16="","",ROUNDUP($K16*$L16,0))</x:f>
        <x:v>1</x:v>
      </x:c>
      <x:c r="N16" s="3">
        <x:f>IF($K16="","",$K16+$M16)</x:f>
        <x:v>4</x:v>
      </x:c>
      <x:c r="O16" s="12" t="n"/>
      <x:c r="P16" s="3">
        <x:f>IF($O16="",$N16,$O16)</x:f>
        <x:v>4</x:v>
      </x:c>
      <x:c r="Q16" s="13" t="n"/>
      <x:c r="R16" s="3">
        <x:f>IF($Q16="","",ROUND($P16*$Q16,2))</x:f>
      </x:c>
      <x:c r="S16" s="3">
        <x:f>IF($Q16="","",$P16-$R16)</x:f>
      </x:c>
      <x:c r="T16" s="9" t="str">
        <x:f>IF($Q16="","미착수",IF($Q16&gt;=1,"완료","진행중"))</x:f>
        <x:v>미착수</x:v>
      </x:c>
      <x:c r="U16" s="14" t="n"/>
      <x:c r="V16" s="15">
        <x:f>IF($U16="","",$U16+$P16-1)</x:f>
      </x:c>
      <x:c r="W16" s="3" t="inlineStr">
        <x:is>
          <x:t xml:space="preserve">완료공지 요구사항</x:t>
        </x:is>
      </x:c>
      <x:c r="X16" s="3" t="inlineStr">
        <x:is>
          <x:t xml:space="preserve">p8</x:t>
        </x:is>
      </x:c>
    </x:row>
    <x:row r="17" ht="42" customHeight="1">
      <x:c r="A17" s="9" t="inlineStr">
        <x:is>
          <x:t xml:space="preserve">2.11</x:t>
        </x:is>
      </x:c>
      <x:c r="B17" s="3" t="inlineStr">
        <x:is>
          <x:t xml:space="preserve">요구사항</x:t>
        </x:is>
      </x:c>
      <x:c r="C17" s="3" t="inlineStr">
        <x:is>
          <x:t xml:space="preserve">확장</x:t>
        </x:is>
      </x:c>
      <x:c r="D17" s="3" t="inlineStr">
        <x:is>
          <x:t xml:space="preserve">Channels</x:t>
        </x:is>
      </x:c>
      <x:c r="E17" s="3" t="inlineStr">
        <x:is>
          <x:t xml:space="preserve">알림 채널 확장 요구 정의</x:t>
        </x:is>
      </x:c>
      <x:c r="F17" s="10" t="inlineStr">
        <x:is>
          <x:t xml:space="preserve">이메일 외 메신저/KZ이음/포탈 연계 표준 API Guide</x:t>
        </x:is>
      </x:c>
      <x:c r="G17" s="10" t="inlineStr">
        <x:is>
          <x:t xml:space="preserve">알림채널 확장(p9)</x:t>
        </x:is>
      </x:c>
      <x:c r="H17" s="3" t="inlineStr">
        <x:is>
          <x:t xml:space="preserve">2.2</x:t>
        </x:is>
      </x:c>
      <x:c r="I17" s="3" t="inlineStr">
        <x:is>
          <x:t xml:space="preserve">PM/Arch</x:t>
        </x:is>
      </x:c>
      <x:c r="J17" s="9" t="inlineStr">
        <x:is>
          <x:t xml:space="preserve">중</x:t>
        </x:is>
      </x:c>
      <x:c r="K17" s="3">
        <x:f>IF($J17="","",VLOOKUP($J17,Assumptions!$A$11:$C$14,2,FALSE))</x:f>
        <x:v>3</x:v>
      </x:c>
      <x:c r="L17" s="11">
        <x:f>IF($J17="","",VLOOKUP($J17,Assumptions!$A$11:$C$14,3,FALSE)+Assumptions!$G$11)</x:f>
        <x:v>0.15</x:v>
      </x:c>
      <x:c r="M17" s="3">
        <x:f>IF($K17="","",ROUNDUP($K17*$L17,0))</x:f>
        <x:v>1</x:v>
      </x:c>
      <x:c r="N17" s="3">
        <x:f>IF($K17="","",$K17+$M17)</x:f>
        <x:v>4</x:v>
      </x:c>
      <x:c r="O17" s="12" t="n"/>
      <x:c r="P17" s="3">
        <x:f>IF($O17="",$N17,$O17)</x:f>
        <x:v>4</x:v>
      </x:c>
      <x:c r="Q17" s="13" t="n"/>
      <x:c r="R17" s="3">
        <x:f>IF($Q17="","",ROUND($P17*$Q17,2))</x:f>
      </x:c>
      <x:c r="S17" s="3">
        <x:f>IF($Q17="","",$P17-$R17)</x:f>
      </x:c>
      <x:c r="T17" s="9" t="str">
        <x:f>IF($Q17="","미착수",IF($Q17&gt;=1,"완료","진행중"))</x:f>
        <x:v>미착수</x:v>
      </x:c>
      <x:c r="U17" s="14" t="n"/>
      <x:c r="V17" s="15">
        <x:f>IF($U17="","",$U17+$P17-1)</x:f>
      </x:c>
      <x:c r="W17" s="3" t="inlineStr">
        <x:is>
          <x:t xml:space="preserve">채널 확장 요구사항</x:t>
        </x:is>
      </x:c>
      <x:c r="X17" s="3" t="inlineStr">
        <x:is>
          <x:t xml:space="preserve">p9</x:t>
        </x:is>
      </x:c>
    </x:row>
    <x:row r="18" ht="42" customHeight="1">
      <x:c r="A18" s="9" t="inlineStr">
        <x:is>
          <x:t xml:space="preserve">2.12</x:t>
        </x:is>
      </x:c>
      <x:c r="B18" s="3" t="inlineStr">
        <x:is>
          <x:t xml:space="preserve">요구사항</x:t>
        </x:is>
      </x:c>
      <x:c r="C18" s="3" t="inlineStr">
        <x:is>
          <x:t xml:space="preserve">비기능</x:t>
        </x:is>
      </x:c>
      <x:c r="D18" s="3" t="inlineStr">
        <x:is>
          <x:t xml:space="preserve">NFR</x:t>
        </x:is>
      </x:c>
      <x:c r="E18" s="3" t="inlineStr">
        <x:is>
          <x:t xml:space="preserve">보안/감사/가용성 요구 정의</x:t>
        </x:is>
      </x:c>
      <x:c r="F18" s="10" t="inlineStr">
        <x:is>
          <x:t xml:space="preserve">권한, 감사로그, 장애시 재시도/알림, 개인정보 최소화</x:t>
        </x:is>
      </x:c>
      <x:c r="G18" s="10" t="inlineStr">
        <x:is>
          <x:t xml:space="preserve">업무 통제/이력(p5)</x:t>
        </x:is>
      </x:c>
      <x:c r="H18" s="3" t="inlineStr">
        <x:is>
          <x:t xml:space="preserve">2.2</x:t>
        </x:is>
      </x:c>
      <x:c r="I18" s="3" t="inlineStr">
        <x:is>
          <x:t xml:space="preserve">PM/보안</x:t>
        </x:is>
      </x:c>
      <x:c r="J18" s="9" t="inlineStr">
        <x:is>
          <x:t xml:space="preserve">상</x:t>
        </x:is>
      </x:c>
      <x:c r="K18" s="3">
        <x:f>IF($J18="","",VLOOKUP($J18,Assumptions!$A$11:$C$14,2,FALSE))</x:f>
        <x:v>5</x:v>
      </x:c>
      <x:c r="L18" s="11">
        <x:f>IF($J18="","",VLOOKUP($J18,Assumptions!$A$11:$C$14,3,FALSE)+Assumptions!$G$11)</x:f>
        <x:v>0.2</x:v>
      </x:c>
      <x:c r="M18" s="3">
        <x:f>IF($K18="","",ROUNDUP($K18*$L18,0))</x:f>
        <x:v>1</x:v>
      </x:c>
      <x:c r="N18" s="3">
        <x:f>IF($K18="","",$K18+$M18)</x:f>
        <x:v>6</x:v>
      </x:c>
      <x:c r="O18" s="12" t="n"/>
      <x:c r="P18" s="3">
        <x:f>IF($O18="",$N18,$O18)</x:f>
        <x:v>6</x:v>
      </x:c>
      <x:c r="Q18" s="13" t="n"/>
      <x:c r="R18" s="3">
        <x:f>IF($Q18="","",ROUND($P18*$Q18,2))</x:f>
      </x:c>
      <x:c r="S18" s="3">
        <x:f>IF($Q18="","",$P18-$R18)</x:f>
      </x:c>
      <x:c r="T18" s="9" t="str">
        <x:f>IF($Q18="","미착수",IF($Q18&gt;=1,"완료","진행중"))</x:f>
        <x:v>미착수</x:v>
      </x:c>
      <x:c r="U18" s="14" t="n"/>
      <x:c r="V18" s="15">
        <x:f>IF($U18="","",$U18+$P18-1)</x:f>
      </x:c>
      <x:c r="W18" s="3" t="inlineStr">
        <x:is>
          <x:t xml:space="preserve">NFR 문서</x:t>
        </x:is>
      </x:c>
      <x:c r="X18" s="3" t="inlineStr">
        <x:is>
          <x:t xml:space="preserve">p5</x:t>
        </x:is>
      </x:c>
    </x:row>
    <x:row r="19" ht="42" customHeight="1">
      <x:c r="A19" s="9" t="inlineStr">
        <x:is>
          <x:t xml:space="preserve">2.13</x:t>
        </x:is>
      </x:c>
      <x:c r="B19" s="3" t="inlineStr">
        <x:is>
          <x:t xml:space="preserve">요구사항</x:t>
        </x:is>
      </x:c>
      <x:c r="C19" s="3" t="inlineStr">
        <x:is>
          <x:t xml:space="preserve">검증</x:t>
        </x:is>
      </x:c>
      <x:c r="D19" s="3" t="inlineStr">
        <x:is>
          <x:t xml:space="preserve">Acceptance</x:t>
        </x:is>
      </x:c>
      <x:c r="E19" s="3" t="inlineStr">
        <x:is>
          <x:t xml:space="preserve">수용 기준(UAT) 및 범위 승인</x:t>
        </x:is>
      </x:c>
      <x:c r="F19" s="10" t="inlineStr">
        <x:is>
          <x:t xml:space="preserve">테스트 시나리오/성공지표 및 요구사항 승인</x:t>
        </x:is>
      </x:c>
      <x:c r="G19" s="10" t="inlineStr">
        <x:is>
          <x:t xml:space="preserve">개발 착수 게이트</x:t>
        </x:is>
      </x:c>
      <x:c r="H19" s="3" t="inlineStr">
        <x:is>
          <x:t xml:space="preserve">2.3-2.12</x:t>
        </x:is>
      </x:c>
      <x:c r="I19" s="3" t="inlineStr">
        <x:is>
          <x:t xml:space="preserve">PM/업무</x:t>
        </x:is>
      </x:c>
      <x:c r="J19" s="9" t="inlineStr">
        <x:is>
          <x:t xml:space="preserve">중</x:t>
        </x:is>
      </x:c>
      <x:c r="K19" s="3">
        <x:f>IF($J19="","",VLOOKUP($J19,Assumptions!$A$11:$C$14,2,FALSE))</x:f>
        <x:v>3</x:v>
      </x:c>
      <x:c r="L19" s="11">
        <x:f>IF($J19="","",VLOOKUP($J19,Assumptions!$A$11:$C$14,3,FALSE)+Assumptions!$G$11)</x:f>
        <x:v>0.15</x:v>
      </x:c>
      <x:c r="M19" s="3">
        <x:f>IF($K19="","",ROUNDUP($K19*$L19,0))</x:f>
        <x:v>1</x:v>
      </x:c>
      <x:c r="N19" s="3">
        <x:f>IF($K19="","",$K19+$M19)</x:f>
        <x:v>4</x:v>
      </x:c>
      <x:c r="O19" s="12" t="n"/>
      <x:c r="P19" s="3">
        <x:f>IF($O19="",$N19,$O19)</x:f>
        <x:v>4</x:v>
      </x:c>
      <x:c r="Q19" s="13" t="n"/>
      <x:c r="R19" s="3">
        <x:f>IF($Q19="","",ROUND($P19*$Q19,2))</x:f>
      </x:c>
      <x:c r="S19" s="3">
        <x:f>IF($Q19="","",$P19-$R19)</x:f>
      </x:c>
      <x:c r="T19" s="9" t="str">
        <x:f>IF($Q19="","미착수",IF($Q19&gt;=1,"완료","진행중"))</x:f>
        <x:v>미착수</x:v>
      </x:c>
      <x:c r="U19" s="14" t="n"/>
      <x:c r="V19" s="15">
        <x:f>IF($U19="","",$U19+$P19-1)</x:f>
      </x:c>
      <x:c r="W19" s="3" t="inlineStr">
        <x:is>
          <x:t xml:space="preserve">요구사항 승인서</x:t>
        </x:is>
      </x:c>
      <x:c r="X19" s="3" t="inlineStr">
        <x:is>
          <x:t xml:space="preserve">p2</x:t>
        </x:is>
      </x:c>
    </x:row>
    <x:row r="20" ht="42" customHeight="1">
      <x:c r="A20" s="9" t="inlineStr">
        <x:is>
          <x:t xml:space="preserve">3.1</x:t>
        </x:is>
      </x:c>
      <x:c r="B20" s="3" t="inlineStr">
        <x:is>
          <x:t xml:space="preserve">설계</x:t>
        </x:is>
      </x:c>
      <x:c r="C20" s="3" t="inlineStr">
        <x:is>
          <x:t xml:space="preserve">아키텍처</x:t>
        </x:is>
      </x:c>
      <x:c r="D20" s="3" t="inlineStr">
        <x:is>
          <x:t xml:space="preserve">Architecture</x:t>
        </x:is>
      </x:c>
      <x:c r="E20" s="3" t="inlineStr">
        <x:is>
          <x:t xml:space="preserve">시스템 아키텍처/구성도 설계</x:t>
        </x:is>
      </x:c>
      <x:c r="F20" s="10" t="inlineStr">
        <x:is>
          <x:t xml:space="preserve">웹시스템 + 발송서비스 + Graph 연동 모듈 + DB</x:t>
        </x:is>
      </x:c>
      <x:c r="G20" s="10" t="inlineStr">
        <x:is>
          <x:t xml:space="preserve">전체 체계(p2-3)</x:t>
        </x:is>
      </x:c>
      <x:c r="H20" s="3" t="inlineStr">
        <x:is>
          <x:t xml:space="preserve">2.13</x:t>
        </x:is>
      </x:c>
      <x:c r="I20" s="3" t="inlineStr">
        <x:is>
          <x:t xml:space="preserve">Arch</x:t>
        </x:is>
      </x:c>
      <x:c r="J20" s="9" t="inlineStr">
        <x:is>
          <x:t xml:space="preserve">상</x:t>
        </x:is>
      </x:c>
      <x:c r="K20" s="3">
        <x:f>IF($J20="","",VLOOKUP($J20,Assumptions!$A$11:$C$14,2,FALSE))</x:f>
        <x:v>5</x:v>
      </x:c>
      <x:c r="L20" s="11">
        <x:f>IF($J20="","",VLOOKUP($J20,Assumptions!$A$11:$C$14,3,FALSE)+Assumptions!$G$11)</x:f>
        <x:v>0.2</x:v>
      </x:c>
      <x:c r="M20" s="3">
        <x:f>IF($K20="","",ROUNDUP($K20*$L20,0))</x:f>
        <x:v>1</x:v>
      </x:c>
      <x:c r="N20" s="3">
        <x:f>IF($K20="","",$K20+$M20)</x:f>
        <x:v>6</x:v>
      </x:c>
      <x:c r="O20" s="12" t="n"/>
      <x:c r="P20" s="3">
        <x:f>IF($O20="",$N20,$O20)</x:f>
        <x:v>6</x:v>
      </x:c>
      <x:c r="Q20" s="13" t="n"/>
      <x:c r="R20" s="3">
        <x:f>IF($Q20="","",ROUND($P20*$Q20,2))</x:f>
      </x:c>
      <x:c r="S20" s="3">
        <x:f>IF($Q20="","",$P20-$R20)</x:f>
      </x:c>
      <x:c r="T20" s="9" t="str">
        <x:f>IF($Q20="","미착수",IF($Q20&gt;=1,"완료","진행중"))</x:f>
        <x:v>미착수</x:v>
      </x:c>
      <x:c r="U20" s="14" t="n"/>
      <x:c r="V20" s="15">
        <x:f>IF($U20="","",$U20+$P20-1)</x:f>
      </x:c>
      <x:c r="W20" s="3" t="inlineStr">
        <x:is>
          <x:t xml:space="preserve">아키텍처 설계서</x:t>
        </x:is>
      </x:c>
      <x:c r="X20" s="3" t="inlineStr">
        <x:is>
          <x:t xml:space="preserve">p2-3</x:t>
        </x:is>
      </x:c>
    </x:row>
    <x:row r="21" ht="42" customHeight="1">
      <x:c r="A21" s="9" t="inlineStr">
        <x:is>
          <x:t xml:space="preserve">3.2</x:t>
        </x:is>
      </x:c>
      <x:c r="B21" s="3" t="inlineStr">
        <x:is>
          <x:t xml:space="preserve">설계</x:t>
        </x:is>
      </x:c>
      <x:c r="C21" s="3" t="inlineStr">
        <x:is>
          <x:t xml:space="preserve">데이터</x:t>
        </x:is>
      </x:c>
      <x:c r="D21" s="3" t="inlineStr">
        <x:is>
          <x:t xml:space="preserve">DataModel</x:t>
        </x:is>
      </x:c>
      <x:c r="E21" s="3" t="inlineStr">
        <x:is>
          <x:t xml:space="preserve">데이터 모델(공지/승인/발송/로그) 설계</x:t>
        </x:is>
      </x:c>
      <x:c r="F21" s="10" t="inlineStr">
        <x:is>
          <x:t xml:space="preserve">주요 엔티티, 상태값, 인덱스, 보존기간</x:t>
        </x:is>
      </x:c>
      <x:c r="G21" s="10" t="inlineStr">
        <x:is>
          <x:t xml:space="preserve">History/승인 필요(p5)</x:t>
        </x:is>
      </x:c>
      <x:c r="H21" s="3" t="inlineStr">
        <x:is>
          <x:t xml:space="preserve">2.13</x:t>
        </x:is>
      </x:c>
      <x:c r="I21" s="3" t="inlineStr">
        <x:is>
          <x:t xml:space="preserve">BE/DBA</x:t>
        </x:is>
      </x:c>
      <x:c r="J21" s="9" t="inlineStr">
        <x:is>
          <x:t xml:space="preserve">상</x:t>
        </x:is>
      </x:c>
      <x:c r="K21" s="3">
        <x:f>IF($J21="","",VLOOKUP($J21,Assumptions!$A$11:$C$14,2,FALSE))</x:f>
        <x:v>5</x:v>
      </x:c>
      <x:c r="L21" s="11">
        <x:f>IF($J21="","",VLOOKUP($J21,Assumptions!$A$11:$C$14,3,FALSE)+Assumptions!$G$11)</x:f>
        <x:v>0.2</x:v>
      </x:c>
      <x:c r="M21" s="3">
        <x:f>IF($K21="","",ROUNDUP($K21*$L21,0))</x:f>
        <x:v>1</x:v>
      </x:c>
      <x:c r="N21" s="3">
        <x:f>IF($K21="","",$K21+$M21)</x:f>
        <x:v>6</x:v>
      </x:c>
      <x:c r="O21" s="12" t="n"/>
      <x:c r="P21" s="3">
        <x:f>IF($O21="",$N21,$O21)</x:f>
        <x:v>6</x:v>
      </x:c>
      <x:c r="Q21" s="13" t="n"/>
      <x:c r="R21" s="3">
        <x:f>IF($Q21="","",ROUND($P21*$Q21,2))</x:f>
      </x:c>
      <x:c r="S21" s="3">
        <x:f>IF($Q21="","",$P21-$R21)</x:f>
      </x:c>
      <x:c r="T21" s="9" t="str">
        <x:f>IF($Q21="","미착수",IF($Q21&gt;=1,"완료","진행중"))</x:f>
        <x:v>미착수</x:v>
      </x:c>
      <x:c r="U21" s="14" t="n"/>
      <x:c r="V21" s="15">
        <x:f>IF($U21="","",$U21+$P21-1)</x:f>
      </x:c>
      <x:c r="W21" s="3" t="inlineStr">
        <x:is>
          <x:t xml:space="preserve">ERD/DDL</x:t>
        </x:is>
      </x:c>
      <x:c r="X21" s="3" t="inlineStr">
        <x:is>
          <x:t xml:space="preserve">p5</x:t>
        </x:is>
      </x:c>
    </x:row>
    <x:row r="22" ht="42" customHeight="1">
      <x:c r="A22" s="9" t="inlineStr">
        <x:is>
          <x:t xml:space="preserve">3.3</x:t>
        </x:is>
      </x:c>
      <x:c r="B22" s="3" t="inlineStr">
        <x:is>
          <x:t xml:space="preserve">설계</x:t>
        </x:is>
      </x:c>
      <x:c r="C22" s="3" t="inlineStr">
        <x:is>
          <x:t xml:space="preserve">API</x:t>
        </x:is>
      </x:c>
      <x:c r="D22" s="3" t="inlineStr">
        <x:is>
          <x:t xml:space="preserve">API</x:t>
        </x:is>
      </x:c>
      <x:c r="E22" s="3" t="inlineStr">
        <x:is>
          <x:t xml:space="preserve">API 명세(공지/승인/발송/대시보드) 작성</x:t>
        </x:is>
      </x:c>
      <x:c r="F22" s="10" t="inlineStr">
        <x:is>
          <x:t xml:space="preserve">REST 엔드포인트, 권한, 요청/응답, 에러코드</x:t>
        </x:is>
      </x:c>
      <x:c r="G22" s="10" t="inlineStr">
        <x:is>
          <x:t xml:space="preserve">기능 구현 전 필수</x:t>
        </x:is>
      </x:c>
      <x:c r="H22" s="3" t="inlineStr">
        <x:is>
          <x:t xml:space="preserve">3.2</x:t>
        </x:is>
      </x:c>
      <x:c r="I22" s="3" t="inlineStr">
        <x:is>
          <x:t xml:space="preserve">BE</x:t>
        </x:is>
      </x:c>
      <x:c r="J22" s="9" t="inlineStr">
        <x:is>
          <x:t xml:space="preserve">상</x:t>
        </x:is>
      </x:c>
      <x:c r="K22" s="3">
        <x:f>IF($J22="","",VLOOKUP($J22,Assumptions!$A$11:$C$14,2,FALSE))</x:f>
        <x:v>5</x:v>
      </x:c>
      <x:c r="L22" s="11">
        <x:f>IF($J22="","",VLOOKUP($J22,Assumptions!$A$11:$C$14,3,FALSE)+Assumptions!$G$11)</x:f>
        <x:v>0.2</x:v>
      </x:c>
      <x:c r="M22" s="3">
        <x:f>IF($K22="","",ROUNDUP($K22*$L22,0))</x:f>
        <x:v>1</x:v>
      </x:c>
      <x:c r="N22" s="3">
        <x:f>IF($K22="","",$K22+$M22)</x:f>
        <x:v>6</x:v>
      </x:c>
      <x:c r="O22" s="12" t="n"/>
      <x:c r="P22" s="3">
        <x:f>IF($O22="",$N22,$O22)</x:f>
        <x:v>6</x:v>
      </x:c>
      <x:c r="Q22" s="13" t="n"/>
      <x:c r="R22" s="3">
        <x:f>IF($Q22="","",ROUND($P22*$Q22,2))</x:f>
      </x:c>
      <x:c r="S22" s="3">
        <x:f>IF($Q22="","",$P22-$R22)</x:f>
      </x:c>
      <x:c r="T22" s="9" t="str">
        <x:f>IF($Q22="","미착수",IF($Q22&gt;=1,"완료","진행중"))</x:f>
        <x:v>미착수</x:v>
      </x:c>
      <x:c r="U22" s="14" t="n"/>
      <x:c r="V22" s="15">
        <x:f>IF($U22="","",$U22+$P22-1)</x:f>
      </x:c>
      <x:c r="W22" s="3" t="inlineStr">
        <x:is>
          <x:t xml:space="preserve">API Spec</x:t>
        </x:is>
      </x:c>
      <x:c r="X22" s="3" t="inlineStr">
        <x:is>
          <x:t xml:space="preserve">p4-7</x:t>
        </x:is>
      </x:c>
    </x:row>
    <x:row r="23" ht="42" customHeight="1">
      <x:c r="A23" s="9" t="inlineStr">
        <x:is>
          <x:t xml:space="preserve">3.4</x:t>
        </x:is>
      </x:c>
      <x:c r="B23" s="3" t="inlineStr">
        <x:is>
          <x:t xml:space="preserve">설계</x:t>
        </x:is>
      </x:c>
      <x:c r="C23" s="3" t="inlineStr">
        <x:is>
          <x:t xml:space="preserve">UI/UX</x:t>
        </x:is>
      </x:c>
      <x:c r="D23" s="3" t="inlineStr">
        <x:is>
          <x:t xml:space="preserve">UI</x:t>
        </x:is>
      </x:c>
      <x:c r="E23" s="3" t="inlineStr">
        <x:is>
          <x:t xml:space="preserve">화면 설계: 공지 등록</x:t>
        </x:is>
      </x:c>
      <x:c r="F23" s="10" t="inlineStr">
        <x:is>
          <x:t xml:space="preserve">입력항목/검증/팝업(법인/부서)/옵션(일정등록)</x:t>
        </x:is>
      </x:c>
      <x:c r="G23" s="10" t="inlineStr">
        <x:is>
          <x:t xml:space="preserve">입력항목(p4)</x:t>
        </x:is>
      </x:c>
      <x:c r="H23" s="3" t="inlineStr">
        <x:is>
          <x:t xml:space="preserve">2.13</x:t>
        </x:is>
      </x:c>
      <x:c r="I23" s="3" t="inlineStr">
        <x:is>
          <x:t xml:space="preserve">기획/FE</x:t>
        </x:is>
      </x:c>
      <x:c r="J23" s="9" t="inlineStr">
        <x:is>
          <x:t xml:space="preserve">상</x:t>
        </x:is>
      </x:c>
      <x:c r="K23" s="3">
        <x:f>IF($J23="","",VLOOKUP($J23,Assumptions!$A$11:$C$14,2,FALSE))</x:f>
        <x:v>5</x:v>
      </x:c>
      <x:c r="L23" s="11">
        <x:f>IF($J23="","",VLOOKUP($J23,Assumptions!$A$11:$C$14,3,FALSE)+Assumptions!$G$11)</x:f>
        <x:v>0.2</x:v>
      </x:c>
      <x:c r="M23" s="3">
        <x:f>IF($K23="","",ROUNDUP($K23*$L23,0))</x:f>
        <x:v>1</x:v>
      </x:c>
      <x:c r="N23" s="3">
        <x:f>IF($K23="","",$K23+$M23)</x:f>
        <x:v>6</x:v>
      </x:c>
      <x:c r="O23" s="12" t="n"/>
      <x:c r="P23" s="3">
        <x:f>IF($O23="",$N23,$O23)</x:f>
        <x:v>6</x:v>
      </x:c>
      <x:c r="Q23" s="13" t="n"/>
      <x:c r="R23" s="3">
        <x:f>IF($Q23="","",ROUND($P23*$Q23,2))</x:f>
      </x:c>
      <x:c r="S23" s="3">
        <x:f>IF($Q23="","",$P23-$R23)</x:f>
      </x:c>
      <x:c r="T23" s="9" t="str">
        <x:f>IF($Q23="","미착수",IF($Q23&gt;=1,"완료","진행중"))</x:f>
        <x:v>미착수</x:v>
      </x:c>
      <x:c r="U23" s="14" t="n"/>
      <x:c r="V23" s="15">
        <x:f>IF($U23="","",$U23+$P23-1)</x:f>
      </x:c>
      <x:c r="W23" s="3" t="inlineStr">
        <x:is>
          <x:t xml:space="preserve">화면설계서(공지등록)</x:t>
        </x:is>
      </x:c>
      <x:c r="X23" s="3" t="inlineStr">
        <x:is>
          <x:t xml:space="preserve">p4</x:t>
        </x:is>
      </x:c>
    </x:row>
    <x:row r="24" ht="42" customHeight="1">
      <x:c r="A24" s="9" t="inlineStr">
        <x:is>
          <x:t xml:space="preserve">3.5</x:t>
        </x:is>
      </x:c>
      <x:c r="B24" s="3" t="inlineStr">
        <x:is>
          <x:t xml:space="preserve">설계</x:t>
        </x:is>
      </x:c>
      <x:c r="C24" s="3" t="inlineStr">
        <x:is>
          <x:t xml:space="preserve">UI/UX</x:t>
        </x:is>
      </x:c>
      <x:c r="D24" s="3" t="inlineStr">
        <x:is>
          <x:t xml:space="preserve">UI</x:t>
        </x:is>
      </x:c>
      <x:c r="E24" s="3" t="inlineStr">
        <x:is>
          <x:t xml:space="preserve">화면 설계: 승인대기/결재</x:t>
        </x:is>
      </x:c>
      <x:c r="F24" s="10" t="inlineStr">
        <x:is>
          <x:t xml:space="preserve">승인목록, 상세보기, 승인/반려, 검색기간</x:t>
        </x:is>
      </x:c>
      <x:c r="G24" s="10" t="inlineStr">
        <x:is>
          <x:t xml:space="preserve">승인체계(p5)</x:t>
        </x:is>
      </x:c>
      <x:c r="H24" s="3" t="inlineStr">
        <x:is>
          <x:t xml:space="preserve">2.13</x:t>
        </x:is>
      </x:c>
      <x:c r="I24" s="3" t="inlineStr">
        <x:is>
          <x:t xml:space="preserve">기획/FE</x:t>
        </x:is>
      </x:c>
      <x:c r="J24" s="9" t="inlineStr">
        <x:is>
          <x:t xml:space="preserve">중</x:t>
        </x:is>
      </x:c>
      <x:c r="K24" s="3">
        <x:f>IF($J24="","",VLOOKUP($J24,Assumptions!$A$11:$C$14,2,FALSE))</x:f>
        <x:v>3</x:v>
      </x:c>
      <x:c r="L24" s="11">
        <x:f>IF($J24="","",VLOOKUP($J24,Assumptions!$A$11:$C$14,3,FALSE)+Assumptions!$G$11)</x:f>
        <x:v>0.15</x:v>
      </x:c>
      <x:c r="M24" s="3">
        <x:f>IF($K24="","",ROUNDUP($K24*$L24,0))</x:f>
        <x:v>1</x:v>
      </x:c>
      <x:c r="N24" s="3">
        <x:f>IF($K24="","",$K24+$M24)</x:f>
        <x:v>4</x:v>
      </x:c>
      <x:c r="O24" s="12" t="n"/>
      <x:c r="P24" s="3">
        <x:f>IF($O24="",$N24,$O24)</x:f>
        <x:v>4</x:v>
      </x:c>
      <x:c r="Q24" s="13" t="n"/>
      <x:c r="R24" s="3">
        <x:f>IF($Q24="","",ROUND($P24*$Q24,2))</x:f>
      </x:c>
      <x:c r="S24" s="3">
        <x:f>IF($Q24="","",$P24-$R24)</x:f>
      </x:c>
      <x:c r="T24" s="9" t="str">
        <x:f>IF($Q24="","미착수",IF($Q24&gt;=1,"완료","진행중"))</x:f>
        <x:v>미착수</x:v>
      </x:c>
      <x:c r="U24" s="14" t="n"/>
      <x:c r="V24" s="15">
        <x:f>IF($U24="","",$U24+$P24-1)</x:f>
      </x:c>
      <x:c r="W24" s="3" t="inlineStr">
        <x:is>
          <x:t xml:space="preserve">화면설계서(승인)</x:t>
        </x:is>
      </x:c>
      <x:c r="X24" s="3" t="inlineStr">
        <x:is>
          <x:t xml:space="preserve">p5</x:t>
        </x:is>
      </x:c>
    </x:row>
    <x:row r="25" ht="42" customHeight="1">
      <x:c r="A25" s="9" t="inlineStr">
        <x:is>
          <x:t xml:space="preserve">3.6</x:t>
        </x:is>
      </x:c>
      <x:c r="B25" s="3" t="inlineStr">
        <x:is>
          <x:t xml:space="preserve">설계</x:t>
        </x:is>
      </x:c>
      <x:c r="C25" s="3" t="inlineStr">
        <x:is>
          <x:t xml:space="preserve">UI/UX</x:t>
        </x:is>
      </x:c>
      <x:c r="D25" s="3" t="inlineStr">
        <x:is>
          <x:t xml:space="preserve">UI</x:t>
        </x:is>
      </x:c>
      <x:c r="E25" s="3" t="inlineStr">
        <x:is>
          <x:t xml:space="preserve">화면 설계: History</x:t>
        </x:is>
      </x:c>
      <x:c r="F25" s="10" t="inlineStr">
        <x:is>
          <x:t xml:space="preserve">발송 상태/검색/필터/상세 로그</x:t>
        </x:is>
      </x:c>
      <x:c r="G25" s="10" t="inlineStr">
        <x:is>
          <x:t xml:space="preserve">History(p5)</x:t>
        </x:is>
      </x:c>
      <x:c r="H25" s="3" t="inlineStr">
        <x:is>
          <x:t xml:space="preserve">2.13</x:t>
        </x:is>
      </x:c>
      <x:c r="I25" s="3" t="inlineStr">
        <x:is>
          <x:t xml:space="preserve">기획/FE</x:t>
        </x:is>
      </x:c>
      <x:c r="J25" s="9" t="inlineStr">
        <x:is>
          <x:t xml:space="preserve">중</x:t>
        </x:is>
      </x:c>
      <x:c r="K25" s="3">
        <x:f>IF($J25="","",VLOOKUP($J25,Assumptions!$A$11:$C$14,2,FALSE))</x:f>
        <x:v>3</x:v>
      </x:c>
      <x:c r="L25" s="11">
        <x:f>IF($J25="","",VLOOKUP($J25,Assumptions!$A$11:$C$14,3,FALSE)+Assumptions!$G$11)</x:f>
        <x:v>0.15</x:v>
      </x:c>
      <x:c r="M25" s="3">
        <x:f>IF($K25="","",ROUNDUP($K25*$L25,0))</x:f>
        <x:v>1</x:v>
      </x:c>
      <x:c r="N25" s="3">
        <x:f>IF($K25="","",$K25+$M25)</x:f>
        <x:v>4</x:v>
      </x:c>
      <x:c r="O25" s="12" t="n"/>
      <x:c r="P25" s="3">
        <x:f>IF($O25="",$N25,$O25)</x:f>
        <x:v>4</x:v>
      </x:c>
      <x:c r="Q25" s="13" t="n"/>
      <x:c r="R25" s="3">
        <x:f>IF($Q25="","",ROUND($P25*$Q25,2))</x:f>
      </x:c>
      <x:c r="S25" s="3">
        <x:f>IF($Q25="","",$P25-$R25)</x:f>
      </x:c>
      <x:c r="T25" s="9" t="str">
        <x:f>IF($Q25="","미착수",IF($Q25&gt;=1,"완료","진행중"))</x:f>
        <x:v>미착수</x:v>
      </x:c>
      <x:c r="U25" s="14" t="n"/>
      <x:c r="V25" s="15">
        <x:f>IF($U25="","",$U25+$P25-1)</x:f>
      </x:c>
      <x:c r="W25" s="3" t="inlineStr">
        <x:is>
          <x:t xml:space="preserve">화면설계서(History)</x:t>
        </x:is>
      </x:c>
      <x:c r="X25" s="3" t="inlineStr">
        <x:is>
          <x:t xml:space="preserve">p5</x:t>
        </x:is>
      </x:c>
    </x:row>
    <x:row r="26" ht="42" customHeight="1">
      <x:c r="A26" s="9" t="inlineStr">
        <x:is>
          <x:t xml:space="preserve">3.7</x:t>
        </x:is>
      </x:c>
      <x:c r="B26" s="3" t="inlineStr">
        <x:is>
          <x:t xml:space="preserve">설계</x:t>
        </x:is>
      </x:c>
      <x:c r="C26" s="3" t="inlineStr">
        <x:is>
          <x:t xml:space="preserve">UI/UX</x:t>
        </x:is>
      </x:c>
      <x:c r="D26" s="3" t="inlineStr">
        <x:is>
          <x:t xml:space="preserve">UI</x:t>
        </x:is>
      </x:c>
      <x:c r="E26" s="3" t="inlineStr">
        <x:is>
          <x:t xml:space="preserve">화면 설계: Dashboard(월간뷰/통계)</x:t>
        </x:is>
      </x:c>
      <x:c r="F26" s="10" t="inlineStr">
        <x:is>
          <x:t xml:space="preserve">월간 캘린더, 최근공지, 유형통계, 점검일정, 부서현황</x:t>
        </x:is>
      </x:c>
      <x:c r="G26" s="10" t="inlineStr">
        <x:is>
          <x:t xml:space="preserve">Dashboard(p6-7)</x:t>
        </x:is>
      </x:c>
      <x:c r="H26" s="3" t="inlineStr">
        <x:is>
          <x:t xml:space="preserve">2.13</x:t>
        </x:is>
      </x:c>
      <x:c r="I26" s="3" t="inlineStr">
        <x:is>
          <x:t xml:space="preserve">기획/FE</x:t>
        </x:is>
      </x:c>
      <x:c r="J26" s="9" t="inlineStr">
        <x:is>
          <x:t xml:space="preserve">상</x:t>
        </x:is>
      </x:c>
      <x:c r="K26" s="3">
        <x:f>IF($J26="","",VLOOKUP($J26,Assumptions!$A$11:$C$14,2,FALSE))</x:f>
        <x:v>5</x:v>
      </x:c>
      <x:c r="L26" s="11">
        <x:f>IF($J26="","",VLOOKUP($J26,Assumptions!$A$11:$C$14,3,FALSE)+Assumptions!$G$11)</x:f>
        <x:v>0.2</x:v>
      </x:c>
      <x:c r="M26" s="3">
        <x:f>IF($K26="","",ROUNDUP($K26*$L26,0))</x:f>
        <x:v>1</x:v>
      </x:c>
      <x:c r="N26" s="3">
        <x:f>IF($K26="","",$K26+$M26)</x:f>
        <x:v>6</x:v>
      </x:c>
      <x:c r="O26" s="12" t="n"/>
      <x:c r="P26" s="3">
        <x:f>IF($O26="",$N26,$O26)</x:f>
        <x:v>6</x:v>
      </x:c>
      <x:c r="Q26" s="13" t="n"/>
      <x:c r="R26" s="3">
        <x:f>IF($Q26="","",ROUND($P26*$Q26,2))</x:f>
      </x:c>
      <x:c r="S26" s="3">
        <x:f>IF($Q26="","",$P26-$R26)</x:f>
      </x:c>
      <x:c r="T26" s="9" t="str">
        <x:f>IF($Q26="","미착수",IF($Q26&gt;=1,"완료","진행중"))</x:f>
        <x:v>미착수</x:v>
      </x:c>
      <x:c r="U26" s="14" t="n"/>
      <x:c r="V26" s="15">
        <x:f>IF($U26="","",$U26+$P26-1)</x:f>
      </x:c>
      <x:c r="W26" s="3" t="inlineStr">
        <x:is>
          <x:t xml:space="preserve">화면설계서(Dashboard)</x:t>
        </x:is>
      </x:c>
      <x:c r="X26" s="3" t="inlineStr">
        <x:is>
          <x:t xml:space="preserve">p6-7</x:t>
        </x:is>
      </x:c>
    </x:row>
    <x:row r="27" ht="42" customHeight="1">
      <x:c r="A27" s="9" t="inlineStr">
        <x:is>
          <x:t xml:space="preserve">3.8</x:t>
        </x:is>
      </x:c>
      <x:c r="B27" s="3" t="inlineStr">
        <x:is>
          <x:t xml:space="preserve">설계</x:t>
        </x:is>
      </x:c>
      <x:c r="C27" s="3" t="inlineStr">
        <x:is>
          <x:t xml:space="preserve">스케줄</x:t>
        </x:is>
      </x:c>
      <x:c r="D27" s="3" t="inlineStr">
        <x:is>
          <x:t xml:space="preserve">Scheduler</x:t>
        </x:is>
      </x:c>
      <x:c r="E27" s="3" t="inlineStr">
        <x:is>
          <x:t xml:space="preserve">정기 발송 스케줄 설계</x:t>
        </x:is>
      </x:c>
      <x:c r="F27" s="10" t="inlineStr">
        <x:is>
          <x:t xml:space="preserve">발송시간 기준 공지 묶음 생성 규칙, 중복 방지</x:t>
        </x:is>
      </x:c>
      <x:c r="G27" s="10" t="inlineStr">
        <x:is>
          <x:t xml:space="preserve">정기발송(p4)</x:t>
        </x:is>
      </x:c>
      <x:c r="H27" s="3" t="inlineStr">
        <x:is>
          <x:t xml:space="preserve">2.5</x:t>
        </x:is>
      </x:c>
      <x:c r="I27" s="3" t="inlineStr">
        <x:is>
          <x:t xml:space="preserve">BE</x:t>
        </x:is>
      </x:c>
      <x:c r="J27" s="9" t="inlineStr">
        <x:is>
          <x:t xml:space="preserve">상</x:t>
        </x:is>
      </x:c>
      <x:c r="K27" s="3">
        <x:f>IF($J27="","",VLOOKUP($J27,Assumptions!$A$11:$C$14,2,FALSE))</x:f>
        <x:v>5</x:v>
      </x:c>
      <x:c r="L27" s="11">
        <x:f>IF($J27="","",VLOOKUP($J27,Assumptions!$A$11:$C$14,3,FALSE)+Assumptions!$G$11)</x:f>
        <x:v>0.2</x:v>
      </x:c>
      <x:c r="M27" s="3">
        <x:f>IF($K27="","",ROUNDUP($K27*$L27,0))</x:f>
        <x:v>1</x:v>
      </x:c>
      <x:c r="N27" s="3">
        <x:f>IF($K27="","",$K27+$M27)</x:f>
        <x:v>6</x:v>
      </x:c>
      <x:c r="O27" s="12" t="n"/>
      <x:c r="P27" s="3">
        <x:f>IF($O27="",$N27,$O27)</x:f>
        <x:v>6</x:v>
      </x:c>
      <x:c r="Q27" s="13" t="n"/>
      <x:c r="R27" s="3">
        <x:f>IF($Q27="","",ROUND($P27*$Q27,2))</x:f>
      </x:c>
      <x:c r="S27" s="3">
        <x:f>IF($Q27="","",$P27-$R27)</x:f>
      </x:c>
      <x:c r="T27" s="9" t="str">
        <x:f>IF($Q27="","미착수",IF($Q27&gt;=1,"완료","진행중"))</x:f>
        <x:v>미착수</x:v>
      </x:c>
      <x:c r="U27" s="14" t="n"/>
      <x:c r="V27" s="15">
        <x:f>IF($U27="","",$U27+$P27-1)</x:f>
      </x:c>
      <x:c r="W27" s="3" t="inlineStr">
        <x:is>
          <x:t xml:space="preserve">스케줄 설계서</x:t>
        </x:is>
      </x:c>
      <x:c r="X27" s="3" t="inlineStr">
        <x:is>
          <x:t xml:space="preserve">p4</x:t>
        </x:is>
      </x:c>
    </x:row>
    <x:row r="28" ht="42" customHeight="1">
      <x:c r="A28" s="9" t="inlineStr">
        <x:is>
          <x:t xml:space="preserve">3.9</x:t>
        </x:is>
      </x:c>
      <x:c r="B28" s="3" t="inlineStr">
        <x:is>
          <x:t xml:space="preserve">설계</x:t>
        </x:is>
      </x:c>
      <x:c r="C28" s="3" t="inlineStr">
        <x:is>
          <x:t xml:space="preserve">연동</x:t>
        </x:is>
      </x:c>
      <x:c r="D28" s="3" t="inlineStr">
        <x:is>
          <x:t xml:space="preserve">Graph</x:t>
        </x:is>
      </x:c>
      <x:c r="E28" s="3" t="inlineStr">
        <x:is>
          <x:t xml:space="preserve">MS Graph 인증/권한 설계</x:t>
        </x:is>
      </x:c>
      <x:c r="F28" s="10" t="inlineStr">
        <x:is>
          <x:t xml:space="preserve">앱 등록, 권한(Send mail, calendar), 인증 방식</x:t>
        </x:is>
      </x:c>
      <x:c r="G28" s="10" t="inlineStr">
        <x:is>
          <x:t xml:space="preserve">Graph 연동(p3)</x:t>
        </x:is>
      </x:c>
      <x:c r="H28" s="3" t="inlineStr">
        <x:is>
          <x:t xml:space="preserve">2.7</x:t>
        </x:is>
      </x:c>
      <x:c r="I28" s="3" t="inlineStr">
        <x:is>
          <x:t xml:space="preserve">BE/Arch</x:t>
        </x:is>
      </x:c>
      <x:c r="J28" s="9" t="inlineStr">
        <x:is>
          <x:t xml:space="preserve">초상</x:t>
        </x:is>
      </x:c>
      <x:c r="K28" s="3">
        <x:f>IF($J28="","",VLOOKUP($J28,Assumptions!$A$11:$C$14,2,FALSE))</x:f>
        <x:v>7</x:v>
      </x:c>
      <x:c r="L28" s="11">
        <x:f>IF($J28="","",VLOOKUP($J28,Assumptions!$A$11:$C$14,3,FALSE)+Assumptions!$G$11)</x:f>
        <x:v>0.25</x:v>
      </x:c>
      <x:c r="M28" s="3">
        <x:f>IF($K28="","",ROUNDUP($K28*$L28,0))</x:f>
        <x:v>2</x:v>
      </x:c>
      <x:c r="N28" s="3">
        <x:f>IF($K28="","",$K28+$M28)</x:f>
        <x:v>9</x:v>
      </x:c>
      <x:c r="O28" s="12" t="n"/>
      <x:c r="P28" s="3">
        <x:f>IF($O28="",$N28,$O28)</x:f>
        <x:v>9</x:v>
      </x:c>
      <x:c r="Q28" s="13" t="n"/>
      <x:c r="R28" s="3">
        <x:f>IF($Q28="","",ROUND($P28*$Q28,2))</x:f>
      </x:c>
      <x:c r="S28" s="3">
        <x:f>IF($Q28="","",$P28-$R28)</x:f>
      </x:c>
      <x:c r="T28" s="9" t="str">
        <x:f>IF($Q28="","미착수",IF($Q28&gt;=1,"완료","진행중"))</x:f>
        <x:v>미착수</x:v>
      </x:c>
      <x:c r="U28" s="14" t="n"/>
      <x:c r="V28" s="15">
        <x:f>IF($U28="","",$U28+$P28-1)</x:f>
      </x:c>
      <x:c r="W28" s="3" t="inlineStr">
        <x:is>
          <x:t xml:space="preserve">연동 설계서(인증)</x:t>
        </x:is>
      </x:c>
      <x:c r="X28" s="3" t="inlineStr">
        <x:is>
          <x:t xml:space="preserve">p3</x:t>
        </x:is>
      </x:c>
    </x:row>
    <x:row r="29" ht="42" customHeight="1">
      <x:c r="A29" s="9" t="inlineStr">
        <x:is>
          <x:t xml:space="preserve">3.10</x:t>
        </x:is>
      </x:c>
      <x:c r="B29" s="3" t="inlineStr">
        <x:is>
          <x:t xml:space="preserve">설계</x:t>
        </x:is>
      </x:c>
      <x:c r="C29" s="3" t="inlineStr">
        <x:is>
          <x:t xml:space="preserve">연동</x:t>
        </x:is>
      </x:c>
      <x:c r="D29" s="3" t="inlineStr">
        <x:is>
          <x:t xml:space="preserve">Graph</x:t>
        </x:is>
      </x:c>
      <x:c r="E29" s="3" t="inlineStr">
        <x:is>
          <x:t xml:space="preserve">메일/캘린더 연동 설계</x:t>
        </x:is>
      </x:c>
      <x:c r="F29" s="10" t="inlineStr">
        <x:is>
          <x:t xml:space="preserve">메일 템플릿, 캘린더 이벤트 속성 매핑</x:t>
        </x:is>
      </x:c>
      <x:c r="G29" s="10" t="inlineStr">
        <x:is>
          <x:t xml:space="preserve">Graph 연동(p3)</x:t>
        </x:is>
      </x:c>
      <x:c r="H29" s="3" t="inlineStr">
        <x:is>
          <x:t xml:space="preserve">2.7</x:t>
        </x:is>
      </x:c>
      <x:c r="I29" s="3" t="inlineStr">
        <x:is>
          <x:t xml:space="preserve">BE</x:t>
        </x:is>
      </x:c>
      <x:c r="J29" s="9" t="inlineStr">
        <x:is>
          <x:t xml:space="preserve">상</x:t>
        </x:is>
      </x:c>
      <x:c r="K29" s="3">
        <x:f>IF($J29="","",VLOOKUP($J29,Assumptions!$A$11:$C$14,2,FALSE))</x:f>
        <x:v>5</x:v>
      </x:c>
      <x:c r="L29" s="11">
        <x:f>IF($J29="","",VLOOKUP($J29,Assumptions!$A$11:$C$14,3,FALSE)+Assumptions!$G$11)</x:f>
        <x:v>0.2</x:v>
      </x:c>
      <x:c r="M29" s="3">
        <x:f>IF($K29="","",ROUNDUP($K29*$L29,0))</x:f>
        <x:v>1</x:v>
      </x:c>
      <x:c r="N29" s="3">
        <x:f>IF($K29="","",$K29+$M29)</x:f>
        <x:v>6</x:v>
      </x:c>
      <x:c r="O29" s="12" t="n"/>
      <x:c r="P29" s="3">
        <x:f>IF($O29="",$N29,$O29)</x:f>
        <x:v>6</x:v>
      </x:c>
      <x:c r="Q29" s="13" t="n"/>
      <x:c r="R29" s="3">
        <x:f>IF($Q29="","",ROUND($P29*$Q29,2))</x:f>
      </x:c>
      <x:c r="S29" s="3">
        <x:f>IF($Q29="","",$P29-$R29)</x:f>
      </x:c>
      <x:c r="T29" s="9" t="str">
        <x:f>IF($Q29="","미착수",IF($Q29&gt;=1,"완료","진행중"))</x:f>
        <x:v>미착수</x:v>
      </x:c>
      <x:c r="U29" s="14" t="n"/>
      <x:c r="V29" s="15">
        <x:f>IF($U29="","",$U29+$P29-1)</x:f>
      </x:c>
      <x:c r="W29" s="3" t="inlineStr">
        <x:is>
          <x:t xml:space="preserve">연동 설계서(기능)</x:t>
        </x:is>
      </x:c>
      <x:c r="X29" s="3" t="inlineStr">
        <x:is>
          <x:t xml:space="preserve">p3</x:t>
        </x:is>
      </x:c>
    </x:row>
    <x:row r="30" ht="42" customHeight="1">
      <x:c r="A30" s="9" t="inlineStr">
        <x:is>
          <x:t xml:space="preserve">3.11</x:t>
        </x:is>
      </x:c>
      <x:c r="B30" s="3" t="inlineStr">
        <x:is>
          <x:t xml:space="preserve">설계</x:t>
        </x:is>
      </x:c>
      <x:c r="C30" s="3" t="inlineStr">
        <x:is>
          <x:t xml:space="preserve">로그/모니터링</x:t>
        </x:is>
      </x:c>
      <x:c r="D30" s="3" t="inlineStr">
        <x:is>
          <x:t xml:space="preserve">Ops</x:t>
        </x:is>
      </x:c>
      <x:c r="E30" s="3" t="inlineStr">
        <x:is>
          <x:t xml:space="preserve">로그/모니터링/알람 설계</x:t>
        </x:is>
      </x:c>
      <x:c r="F30" s="10" t="inlineStr">
        <x:is>
          <x:t xml:space="preserve">발송 실패 탐지, 재시도, 운영 대시보드/알람</x:t>
        </x:is>
      </x:c>
      <x:c r="G30" s="10" t="inlineStr">
        <x:is>
          <x:t xml:space="preserve">발송실패 상태(p5)</x:t>
        </x:is>
      </x:c>
      <x:c r="H30" s="3" t="inlineStr">
        <x:is>
          <x:t xml:space="preserve">2.12</x:t>
        </x:is>
      </x:c>
      <x:c r="I30" s="3" t="inlineStr">
        <x:is>
          <x:t xml:space="preserve">BE/Infra</x:t>
        </x:is>
      </x:c>
      <x:c r="J30" s="9" t="inlineStr">
        <x:is>
          <x:t xml:space="preserve">상</x:t>
        </x:is>
      </x:c>
      <x:c r="K30" s="3">
        <x:f>IF($J30="","",VLOOKUP($J30,Assumptions!$A$11:$C$14,2,FALSE))</x:f>
        <x:v>5</x:v>
      </x:c>
      <x:c r="L30" s="11">
        <x:f>IF($J30="","",VLOOKUP($J30,Assumptions!$A$11:$C$14,3,FALSE)+Assumptions!$G$11)</x:f>
        <x:v>0.2</x:v>
      </x:c>
      <x:c r="M30" s="3">
        <x:f>IF($K30="","",ROUNDUP($K30*$L30,0))</x:f>
        <x:v>1</x:v>
      </x:c>
      <x:c r="N30" s="3">
        <x:f>IF($K30="","",$K30+$M30)</x:f>
        <x:v>6</x:v>
      </x:c>
      <x:c r="O30" s="12" t="n"/>
      <x:c r="P30" s="3">
        <x:f>IF($O30="",$N30,$O30)</x:f>
        <x:v>6</x:v>
      </x:c>
      <x:c r="Q30" s="13" t="n"/>
      <x:c r="R30" s="3">
        <x:f>IF($Q30="","",ROUND($P30*$Q30,2))</x:f>
      </x:c>
      <x:c r="S30" s="3">
        <x:f>IF($Q30="","",$P30-$R30)</x:f>
      </x:c>
      <x:c r="T30" s="9" t="str">
        <x:f>IF($Q30="","미착수",IF($Q30&gt;=1,"완료","진행중"))</x:f>
        <x:v>미착수</x:v>
      </x:c>
      <x:c r="U30" s="14" t="n"/>
      <x:c r="V30" s="15">
        <x:f>IF($U30="","",$U30+$P30-1)</x:f>
      </x:c>
      <x:c r="W30" s="3" t="inlineStr">
        <x:is>
          <x:t xml:space="preserve">운영 설계서</x:t>
        </x:is>
      </x:c>
      <x:c r="X30" s="3" t="inlineStr">
        <x:is>
          <x:t xml:space="preserve">p5</x:t>
        </x:is>
      </x:c>
    </x:row>
    <x:row r="31" ht="42" customHeight="1">
      <x:c r="A31" s="9" t="inlineStr">
        <x:is>
          <x:t xml:space="preserve">3.12</x:t>
        </x:is>
      </x:c>
      <x:c r="B31" s="3" t="inlineStr">
        <x:is>
          <x:t xml:space="preserve">설계</x:t>
        </x:is>
      </x:c>
      <x:c r="C31" s="3" t="inlineStr">
        <x:is>
          <x:t xml:space="preserve">테스트</x:t>
        </x:is>
      </x:c>
      <x:c r="D31" s="3" t="inlineStr">
        <x:is>
          <x:t xml:space="preserve">TestPlan</x:t>
        </x:is>
      </x:c>
      <x:c r="E31" s="3" t="inlineStr">
        <x:is>
          <x:t xml:space="preserve">테스트 계획/케이스 설계</x:t>
        </x:is>
      </x:c>
      <x:c r="F31" s="10" t="inlineStr">
        <x:is>
          <x:t xml:space="preserve">승인/정기발송/즉시발송/연동 실패/대시보드 검증</x:t>
        </x:is>
      </x:c>
      <x:c r="G31" s="10" t="inlineStr">
        <x:is>
          <x:t xml:space="preserve">UAT 기준(2.13)</x:t>
        </x:is>
      </x:c>
      <x:c r="H31" s="3" t="inlineStr">
        <x:is>
          <x:t xml:space="preserve">2.13</x:t>
        </x:is>
      </x:c>
      <x:c r="I31" s="3" t="inlineStr">
        <x:is>
          <x:t xml:space="preserve">QA</x:t>
        </x:is>
      </x:c>
      <x:c r="J31" s="9" t="inlineStr">
        <x:is>
          <x:t xml:space="preserve">중</x:t>
        </x:is>
      </x:c>
      <x:c r="K31" s="3">
        <x:f>IF($J31="","",VLOOKUP($J31,Assumptions!$A$11:$C$14,2,FALSE))</x:f>
        <x:v>3</x:v>
      </x:c>
      <x:c r="L31" s="11">
        <x:f>IF($J31="","",VLOOKUP($J31,Assumptions!$A$11:$C$14,3,FALSE)+Assumptions!$G$11)</x:f>
        <x:v>0.15</x:v>
      </x:c>
      <x:c r="M31" s="3">
        <x:f>IF($K31="","",ROUNDUP($K31*$L31,0))</x:f>
        <x:v>1</x:v>
      </x:c>
      <x:c r="N31" s="3">
        <x:f>IF($K31="","",$K31+$M31)</x:f>
        <x:v>4</x:v>
      </x:c>
      <x:c r="O31" s="12" t="n"/>
      <x:c r="P31" s="3">
        <x:f>IF($O31="",$N31,$O31)</x:f>
        <x:v>4</x:v>
      </x:c>
      <x:c r="Q31" s="13" t="n"/>
      <x:c r="R31" s="3">
        <x:f>IF($Q31="","",ROUND($P31*$Q31,2))</x:f>
      </x:c>
      <x:c r="S31" s="3">
        <x:f>IF($Q31="","",$P31-$R31)</x:f>
      </x:c>
      <x:c r="T31" s="9" t="str">
        <x:f>IF($Q31="","미착수",IF($Q31&gt;=1,"완료","진행중"))</x:f>
        <x:v>미착수</x:v>
      </x:c>
      <x:c r="U31" s="14" t="n"/>
      <x:c r="V31" s="15">
        <x:f>IF($U31="","",$U31+$P31-1)</x:f>
      </x:c>
      <x:c r="W31" s="3" t="inlineStr">
        <x:is>
          <x:t xml:space="preserve">테스트 계획서</x:t>
        </x:is>
      </x:c>
      <x:c r="X31" s="3" t="inlineStr">
        <x:is>
          <x:t xml:space="preserve">p2</x:t>
        </x:is>
      </x:c>
    </x:row>
    <x:row r="32" ht="42" customHeight="1">
      <x:c r="A32" s="9" t="inlineStr">
        <x:is>
          <x:t xml:space="preserve">4.1</x:t>
        </x:is>
      </x:c>
      <x:c r="B32" s="3" t="inlineStr">
        <x:is>
          <x:t xml:space="preserve">개발</x:t>
        </x:is>
      </x:c>
      <x:c r="C32" s="3" t="inlineStr">
        <x:is>
          <x:t xml:space="preserve">기반</x:t>
        </x:is>
      </x:c>
      <x:c r="D32" s="3" t="inlineStr">
        <x:is>
          <x:t xml:space="preserve">Project Setup</x:t>
        </x:is>
      </x:c>
      <x:c r="E32" s="3" t="inlineStr">
        <x:is>
          <x:t xml:space="preserve">프로젝트/레포 초기 세팅</x:t>
        </x:is>
      </x:c>
      <x:c r="F32" s="10" t="inlineStr">
        <x:is>
          <x:t xml:space="preserve">FE/BE 프로젝트 생성, 공통 라이브러리, 빌드 구성</x:t>
        </x:is>
      </x:c>
      <x:c r="G32" s="10" t="inlineStr">
        <x:is>
          <x:t xml:space="preserve">개발 기본</x:t>
        </x:is>
      </x:c>
      <x:c r="H32" s="3" t="inlineStr">
        <x:is>
          <x:t xml:space="preserve">3.1</x:t>
        </x:is>
      </x:c>
      <x:c r="I32" s="3" t="inlineStr">
        <x:is>
          <x:t xml:space="preserve">FE/BE</x:t>
        </x:is>
      </x:c>
      <x:c r="J32" s="9" t="inlineStr">
        <x:is>
          <x:t xml:space="preserve">중</x:t>
        </x:is>
      </x:c>
      <x:c r="K32" s="3">
        <x:f>IF($J32="","",VLOOKUP($J32,Assumptions!$A$11:$C$14,2,FALSE))</x:f>
        <x:v>3</x:v>
      </x:c>
      <x:c r="L32" s="11">
        <x:f>IF($J32="","",VLOOKUP($J32,Assumptions!$A$11:$C$14,3,FALSE)+Assumptions!$G$11)</x:f>
        <x:v>0.15</x:v>
      </x:c>
      <x:c r="M32" s="3">
        <x:f>IF($K32="","",ROUNDUP($K32*$L32,0))</x:f>
        <x:v>1</x:v>
      </x:c>
      <x:c r="N32" s="3">
        <x:f>IF($K32="","",$K32+$M32)</x:f>
        <x:v>4</x:v>
      </x:c>
      <x:c r="O32" s="12" t="n"/>
      <x:c r="P32" s="3">
        <x:f>IF($O32="",$N32,$O32)</x:f>
        <x:v>4</x:v>
      </x:c>
      <x:c r="Q32" s="13" t="n"/>
      <x:c r="R32" s="3">
        <x:f>IF($Q32="","",ROUND($P32*$Q32,2))</x:f>
      </x:c>
      <x:c r="S32" s="3">
        <x:f>IF($Q32="","",$P32-$R32)</x:f>
      </x:c>
      <x:c r="T32" s="9" t="str">
        <x:f>IF($Q32="","미착수",IF($Q32&gt;=1,"완료","진행중"))</x:f>
        <x:v>미착수</x:v>
      </x:c>
      <x:c r="U32" s="14" t="n"/>
      <x:c r="V32" s="15">
        <x:f>IF($U32="","",$U32+$P32-1)</x:f>
      </x:c>
      <x:c r="W32" s="3" t="inlineStr">
        <x:is>
          <x:t xml:space="preserve">프로젝트 스캐폴딩</x:t>
        </x:is>
      </x:c>
      <x:c r="X32" s="3" t="inlineStr">
        <x:is>
          <x:t xml:space="preserve">p2</x:t>
        </x:is>
      </x:c>
    </x:row>
    <x:row r="33" ht="42" customHeight="1">
      <x:c r="A33" s="9" t="inlineStr">
        <x:is>
          <x:t xml:space="preserve">4.2</x:t>
        </x:is>
      </x:c>
      <x:c r="B33" s="3" t="inlineStr">
        <x:is>
          <x:t xml:space="preserve">개발</x:t>
        </x:is>
      </x:c>
      <x:c r="C33" s="3" t="inlineStr">
        <x:is>
          <x:t xml:space="preserve">기반</x:t>
        </x:is>
      </x:c>
      <x:c r="D33" s="3" t="inlineStr">
        <x:is>
          <x:t xml:space="preserve">Auth</x:t>
        </x:is>
      </x:c>
      <x:c r="E33" s="3" t="inlineStr">
        <x:is>
          <x:t xml:space="preserve">권한/역할(Role) 구현</x:t>
        </x:is>
      </x:c>
      <x:c r="F33" s="10" t="inlineStr">
        <x:is>
          <x:t xml:space="preserve">작성자/승인자/관리자 권한 체크, 메뉴 노출</x:t>
        </x:is>
      </x:c>
      <x:c r="G33" s="10" t="inlineStr">
        <x:is>
          <x:t xml:space="preserve">승인체계 기반(p5)</x:t>
        </x:is>
      </x:c>
      <x:c r="H33" s="3" t="inlineStr">
        <x:is>
          <x:t xml:space="preserve">3.3</x:t>
        </x:is>
      </x:c>
      <x:c r="I33" s="3" t="inlineStr">
        <x:is>
          <x:t xml:space="preserve">BE/FE</x:t>
        </x:is>
      </x:c>
      <x:c r="J33" s="9" t="inlineStr">
        <x:is>
          <x:t xml:space="preserve">상</x:t>
        </x:is>
      </x:c>
      <x:c r="K33" s="3">
        <x:f>IF($J33="","",VLOOKUP($J33,Assumptions!$A$11:$C$14,2,FALSE))</x:f>
        <x:v>5</x:v>
      </x:c>
      <x:c r="L33" s="11">
        <x:f>IF($J33="","",VLOOKUP($J33,Assumptions!$A$11:$C$14,3,FALSE)+Assumptions!$G$11)</x:f>
        <x:v>0.2</x:v>
      </x:c>
      <x:c r="M33" s="3">
        <x:f>IF($K33="","",ROUNDUP($K33*$L33,0))</x:f>
        <x:v>1</x:v>
      </x:c>
      <x:c r="N33" s="3">
        <x:f>IF($K33="","",$K33+$M33)</x:f>
        <x:v>6</x:v>
      </x:c>
      <x:c r="O33" s="12" t="n"/>
      <x:c r="P33" s="3">
        <x:f>IF($O33="",$N33,$O33)</x:f>
        <x:v>6</x:v>
      </x:c>
      <x:c r="Q33" s="13" t="n"/>
      <x:c r="R33" s="3">
        <x:f>IF($Q33="","",ROUND($P33*$Q33,2))</x:f>
      </x:c>
      <x:c r="S33" s="3">
        <x:f>IF($Q33="","",$P33-$R33)</x:f>
      </x:c>
      <x:c r="T33" s="9" t="str">
        <x:f>IF($Q33="","미착수",IF($Q33&gt;=1,"완료","진행중"))</x:f>
        <x:v>미착수</x:v>
      </x:c>
      <x:c r="U33" s="14" t="n"/>
      <x:c r="V33" s="15">
        <x:f>IF($U33="","",$U33+$P33-1)</x:f>
      </x:c>
      <x:c r="W33" s="3" t="inlineStr">
        <x:is>
          <x:t xml:space="preserve">RBAC 모듈</x:t>
        </x:is>
      </x:c>
      <x:c r="X33" s="3" t="inlineStr">
        <x:is>
          <x:t xml:space="preserve">p5</x:t>
        </x:is>
      </x:c>
    </x:row>
    <x:row r="34" ht="42" customHeight="1">
      <x:c r="A34" s="9" t="inlineStr">
        <x:is>
          <x:t xml:space="preserve">4.3</x:t>
        </x:is>
      </x:c>
      <x:c r="B34" s="3" t="inlineStr">
        <x:is>
          <x:t xml:space="preserve">개발</x:t>
        </x:is>
      </x:c>
      <x:c r="C34" s="3" t="inlineStr">
        <x:is>
          <x:t xml:space="preserve">마스터데이터</x:t>
        </x:is>
      </x:c>
      <x:c r="D34" s="3" t="inlineStr">
        <x:is>
          <x:t xml:space="preserve">Org</x:t>
        </x:is>
      </x:c>
      <x:c r="E34" s="3" t="inlineStr">
        <x:is>
          <x:t xml:space="preserve">법인/부서 마스터 연계/로드</x:t>
        </x:is>
      </x:c>
      <x:c r="F34" s="10" t="inlineStr">
        <x:is>
          <x:t xml:space="preserve">법인/부서 목록 제공, 검색, 최신화 배치(선택)</x:t>
        </x:is>
      </x:c>
      <x:c r="G34" s="10" t="inlineStr">
        <x:is>
          <x:t xml:space="preserve">수신법인/부서(p4)</x:t>
        </x:is>
      </x:c>
      <x:c r="H34" s="3" t="inlineStr">
        <x:is>
          <x:t xml:space="preserve">3.2</x:t>
        </x:is>
      </x:c>
      <x:c r="I34" s="3" t="inlineStr">
        <x:is>
          <x:t xml:space="preserve">BE</x:t>
        </x:is>
      </x:c>
      <x:c r="J34" s="9" t="inlineStr">
        <x:is>
          <x:t xml:space="preserve">상</x:t>
        </x:is>
      </x:c>
      <x:c r="K34" s="3">
        <x:f>IF($J34="","",VLOOKUP($J34,Assumptions!$A$11:$C$14,2,FALSE))</x:f>
        <x:v>5</x:v>
      </x:c>
      <x:c r="L34" s="11">
        <x:f>IF($J34="","",VLOOKUP($J34,Assumptions!$A$11:$C$14,3,FALSE)+Assumptions!$G$11)</x:f>
        <x:v>0.2</x:v>
      </x:c>
      <x:c r="M34" s="3">
        <x:f>IF($K34="","",ROUNDUP($K34*$L34,0))</x:f>
        <x:v>1</x:v>
      </x:c>
      <x:c r="N34" s="3">
        <x:f>IF($K34="","",$K34+$M34)</x:f>
        <x:v>6</x:v>
      </x:c>
      <x:c r="O34" s="12" t="n"/>
      <x:c r="P34" s="3">
        <x:f>IF($O34="",$N34,$O34)</x:f>
        <x:v>6</x:v>
      </x:c>
      <x:c r="Q34" s="13" t="n"/>
      <x:c r="R34" s="3">
        <x:f>IF($Q34="","",ROUND($P34*$Q34,2))</x:f>
      </x:c>
      <x:c r="S34" s="3">
        <x:f>IF($Q34="","",$P34-$R34)</x:f>
      </x:c>
      <x:c r="T34" s="9" t="str">
        <x:f>IF($Q34="","미착수",IF($Q34&gt;=1,"완료","진행중"))</x:f>
        <x:v>미착수</x:v>
      </x:c>
      <x:c r="U34" s="14" t="n"/>
      <x:c r="V34" s="15">
        <x:f>IF($U34="","",$U34+$P34-1)</x:f>
      </x:c>
      <x:c r="W34" s="3" t="inlineStr">
        <x:is>
          <x:t xml:space="preserve">Org 마스터 API</x:t>
        </x:is>
      </x:c>
      <x:c r="X34" s="3" t="inlineStr">
        <x:is>
          <x:t xml:space="preserve">p4</x:t>
        </x:is>
      </x:c>
    </x:row>
    <x:row r="35" ht="42" customHeight="1">
      <x:c r="A35" s="9" t="inlineStr">
        <x:is>
          <x:t xml:space="preserve">4.4</x:t>
        </x:is>
      </x:c>
      <x:c r="B35" s="3" t="inlineStr">
        <x:is>
          <x:t xml:space="preserve">개발</x:t>
        </x:is>
      </x:c>
      <x:c r="C35" s="3" t="inlineStr">
        <x:is>
          <x:t xml:space="preserve">마스터데이터</x:t>
        </x:is>
      </x:c>
      <x:c r="D35" s="3" t="inlineStr">
        <x:is>
          <x:t xml:space="preserve">Service Catalog</x:t>
        </x:is>
      </x:c>
      <x:c r="E35" s="3" t="inlineStr">
        <x:is>
          <x:t xml:space="preserve">서비스 목록(영향 서비스) 관리</x:t>
        </x:is>
      </x:c>
      <x:c r="F35" s="10" t="inlineStr">
        <x:is>
          <x:t xml:space="preserve">서비스 카탈로그 조회/관리(초기값 적재)</x:t>
        </x:is>
      </x:c>
      <x:c r="G35" s="10" t="inlineStr">
        <x:is>
          <x:t xml:space="preserve">영향서비스 선택(p4)</x:t>
        </x:is>
      </x:c>
      <x:c r="H35" s="3" t="inlineStr">
        <x:is>
          <x:t xml:space="preserve">3.2</x:t>
        </x:is>
      </x:c>
      <x:c r="I35" s="3" t="inlineStr">
        <x:is>
          <x:t xml:space="preserve">BE</x:t>
        </x:is>
      </x:c>
      <x:c r="J35" s="9" t="inlineStr">
        <x:is>
          <x:t xml:space="preserve">중</x:t>
        </x:is>
      </x:c>
      <x:c r="K35" s="3">
        <x:f>IF($J35="","",VLOOKUP($J35,Assumptions!$A$11:$C$14,2,FALSE))</x:f>
        <x:v>3</x:v>
      </x:c>
      <x:c r="L35" s="11">
        <x:f>IF($J35="","",VLOOKUP($J35,Assumptions!$A$11:$C$14,3,FALSE)+Assumptions!$G$11)</x:f>
        <x:v>0.15</x:v>
      </x:c>
      <x:c r="M35" s="3">
        <x:f>IF($K35="","",ROUNDUP($K35*$L35,0))</x:f>
        <x:v>1</x:v>
      </x:c>
      <x:c r="N35" s="3">
        <x:f>IF($K35="","",$K35+$M35)</x:f>
        <x:v>4</x:v>
      </x:c>
      <x:c r="O35" s="12" t="n"/>
      <x:c r="P35" s="3">
        <x:f>IF($O35="",$N35,$O35)</x:f>
        <x:v>4</x:v>
      </x:c>
      <x:c r="Q35" s="13" t="n"/>
      <x:c r="R35" s="3">
        <x:f>IF($Q35="","",ROUND($P35*$Q35,2))</x:f>
      </x:c>
      <x:c r="S35" s="3">
        <x:f>IF($Q35="","",$P35-$R35)</x:f>
      </x:c>
      <x:c r="T35" s="9" t="str">
        <x:f>IF($Q35="","미착수",IF($Q35&gt;=1,"완료","진행중"))</x:f>
        <x:v>미착수</x:v>
      </x:c>
      <x:c r="U35" s="14" t="n"/>
      <x:c r="V35" s="15">
        <x:f>IF($U35="","",$U35+$P35-1)</x:f>
      </x:c>
      <x:c r="W35" s="3" t="inlineStr">
        <x:is>
          <x:t xml:space="preserve">서비스목록 API/관리</x:t>
        </x:is>
      </x:c>
      <x:c r="X35" s="3" t="inlineStr">
        <x:is>
          <x:t xml:space="preserve">p4</x:t>
        </x:is>
      </x:c>
    </x:row>
    <x:row r="36" ht="42" customHeight="1">
      <x:c r="A36" s="9" t="inlineStr">
        <x:is>
          <x:t xml:space="preserve">4.5</x:t>
        </x:is>
      </x:c>
      <x:c r="B36" s="3" t="inlineStr">
        <x:is>
          <x:t xml:space="preserve">개발</x:t>
        </x:is>
      </x:c>
      <x:c r="C36" s="3" t="inlineStr">
        <x:is>
          <x:t xml:space="preserve">공지</x:t>
        </x:is>
      </x:c>
      <x:c r="D36" s="3" t="inlineStr">
        <x:is>
          <x:t xml:space="preserve">Notice</x:t>
        </x:is>
      </x:c>
      <x:c r="E36" s="3" t="inlineStr">
        <x:is>
          <x:t xml:space="preserve">공지 등록 UI 개발</x:t>
        </x:is>
      </x:c>
      <x:c r="F36" s="10" t="inlineStr">
        <x:is>
          <x:t xml:space="preserve">유형/중요도/서비스/수신대상/발송시간/태그/일정옵션 입력</x:t>
        </x:is>
      </x:c>
      <x:c r="G36" s="10" t="inlineStr">
        <x:is>
          <x:t xml:space="preserve">입력항목 구현(p4)</x:t>
        </x:is>
      </x:c>
      <x:c r="H36" s="3" t="inlineStr">
        <x:is>
          <x:t xml:space="preserve">3.4</x:t>
        </x:is>
      </x:c>
      <x:c r="I36" s="3" t="inlineStr">
        <x:is>
          <x:t xml:space="preserve">FE</x:t>
        </x:is>
      </x:c>
      <x:c r="J36" s="9" t="inlineStr">
        <x:is>
          <x:t xml:space="preserve">상</x:t>
        </x:is>
      </x:c>
      <x:c r="K36" s="3">
        <x:f>IF($J36="","",VLOOKUP($J36,Assumptions!$A$11:$C$14,2,FALSE))</x:f>
        <x:v>5</x:v>
      </x:c>
      <x:c r="L36" s="11">
        <x:f>IF($J36="","",VLOOKUP($J36,Assumptions!$A$11:$C$14,3,FALSE)+Assumptions!$G$11)</x:f>
        <x:v>0.2</x:v>
      </x:c>
      <x:c r="M36" s="3">
        <x:f>IF($K36="","",ROUNDUP($K36*$L36,0))</x:f>
        <x:v>1</x:v>
      </x:c>
      <x:c r="N36" s="3">
        <x:f>IF($K36="","",$K36+$M36)</x:f>
        <x:v>6</x:v>
      </x:c>
      <x:c r="O36" s="12" t="n"/>
      <x:c r="P36" s="3">
        <x:f>IF($O36="",$N36,$O36)</x:f>
        <x:v>6</x:v>
      </x:c>
      <x:c r="Q36" s="13" t="n"/>
      <x:c r="R36" s="3">
        <x:f>IF($Q36="","",ROUND($P36*$Q36,2))</x:f>
      </x:c>
      <x:c r="S36" s="3">
        <x:f>IF($Q36="","",$P36-$R36)</x:f>
      </x:c>
      <x:c r="T36" s="9" t="str">
        <x:f>IF($Q36="","미착수",IF($Q36&gt;=1,"완료","진행중"))</x:f>
        <x:v>미착수</x:v>
      </x:c>
      <x:c r="U36" s="14" t="n"/>
      <x:c r="V36" s="15">
        <x:f>IF($U36="","",$U36+$P36-1)</x:f>
      </x:c>
      <x:c r="W36" s="3" t="inlineStr">
        <x:is>
          <x:t xml:space="preserve">공지등록 화면</x:t>
        </x:is>
      </x:c>
      <x:c r="X36" s="3" t="inlineStr">
        <x:is>
          <x:t xml:space="preserve">p4</x:t>
        </x:is>
      </x:c>
    </x:row>
    <x:row r="37" ht="42" customHeight="1">
      <x:c r="A37" s="9" t="inlineStr">
        <x:is>
          <x:t xml:space="preserve">4.6</x:t>
        </x:is>
      </x:c>
      <x:c r="B37" s="3" t="inlineStr">
        <x:is>
          <x:t xml:space="preserve">개발</x:t>
        </x:is>
      </x:c>
      <x:c r="C37" s="3" t="inlineStr">
        <x:is>
          <x:t xml:space="preserve">공지</x:t>
        </x:is>
      </x:c>
      <x:c r="D37" s="3" t="inlineStr">
        <x:is>
          <x:t xml:space="preserve">Notice</x:t>
        </x:is>
      </x:c>
      <x:c r="E37" s="3" t="inlineStr">
        <x:is>
          <x:t xml:space="preserve">공지 등록 API 개발</x:t>
        </x:is>
      </x:c>
      <x:c r="F37" s="10" t="inlineStr">
        <x:is>
          <x:t xml:space="preserve">공지 저장, 검증, 상태 초기화(작성중/승인대기)</x:t>
        </x:is>
      </x:c>
      <x:c r="G37" s="10" t="inlineStr">
        <x:is>
          <x:t xml:space="preserve">등록 필수</x:t>
        </x:is>
      </x:c>
      <x:c r="H37" s="3" t="inlineStr">
        <x:is>
          <x:t xml:space="preserve">3.3</x:t>
        </x:is>
      </x:c>
      <x:c r="I37" s="3" t="inlineStr">
        <x:is>
          <x:t xml:space="preserve">BE</x:t>
        </x:is>
      </x:c>
      <x:c r="J37" s="9" t="inlineStr">
        <x:is>
          <x:t xml:space="preserve">상</x:t>
        </x:is>
      </x:c>
      <x:c r="K37" s="3">
        <x:f>IF($J37="","",VLOOKUP($J37,Assumptions!$A$11:$C$14,2,FALSE))</x:f>
        <x:v>5</x:v>
      </x:c>
      <x:c r="L37" s="11">
        <x:f>IF($J37="","",VLOOKUP($J37,Assumptions!$A$11:$C$14,3,FALSE)+Assumptions!$G$11)</x:f>
        <x:v>0.2</x:v>
      </x:c>
      <x:c r="M37" s="3">
        <x:f>IF($K37="","",ROUNDUP($K37*$L37,0))</x:f>
        <x:v>1</x:v>
      </x:c>
      <x:c r="N37" s="3">
        <x:f>IF($K37="","",$K37+$M37)</x:f>
        <x:v>6</x:v>
      </x:c>
      <x:c r="O37" s="12" t="n"/>
      <x:c r="P37" s="3">
        <x:f>IF($O37="",$N37,$O37)</x:f>
        <x:v>6</x:v>
      </x:c>
      <x:c r="Q37" s="13" t="n"/>
      <x:c r="R37" s="3">
        <x:f>IF($Q37="","",ROUND($P37*$Q37,2))</x:f>
      </x:c>
      <x:c r="S37" s="3">
        <x:f>IF($Q37="","",$P37-$R37)</x:f>
      </x:c>
      <x:c r="T37" s="9" t="str">
        <x:f>IF($Q37="","미착수",IF($Q37&gt;=1,"완료","진행중"))</x:f>
        <x:v>미착수</x:v>
      </x:c>
      <x:c r="U37" s="14" t="n"/>
      <x:c r="V37" s="15">
        <x:f>IF($U37="","",$U37+$P37-1)</x:f>
      </x:c>
      <x:c r="W37" s="3" t="inlineStr">
        <x:is>
          <x:t xml:space="preserve">공지 CRUD API</x:t>
        </x:is>
      </x:c>
      <x:c r="X37" s="3" t="inlineStr">
        <x:is>
          <x:t xml:space="preserve">p4</x:t>
        </x:is>
      </x:c>
    </x:row>
    <x:row r="38" ht="42" customHeight="1">
      <x:c r="A38" s="9" t="inlineStr">
        <x:is>
          <x:t xml:space="preserve">4.7</x:t>
        </x:is>
      </x:c>
      <x:c r="B38" s="3" t="inlineStr">
        <x:is>
          <x:t xml:space="preserve">개발</x:t>
        </x:is>
      </x:c>
      <x:c r="C38" s="3" t="inlineStr">
        <x:is>
          <x:t xml:space="preserve">공지</x:t>
        </x:is>
      </x:c>
      <x:c r="D38" s="3" t="inlineStr">
        <x:is>
          <x:t xml:space="preserve">Notice</x:t>
        </x:is>
      </x:c>
      <x:c r="E38" s="3" t="inlineStr">
        <x:is>
          <x:t xml:space="preserve">공지 수정/삭제(승인 전) 구현</x:t>
        </x:is>
      </x:c>
      <x:c r="F38" s="10" t="inlineStr">
        <x:is>
          <x:t xml:space="preserve">승인 전 수정/삭제, 상태 롤백 규칙</x:t>
        </x:is>
      </x:c>
      <x:c r="G38" s="10" t="inlineStr">
        <x:is>
          <x:t xml:space="preserve">업무 통제</x:t>
        </x:is>
      </x:c>
      <x:c r="H38" s="3" t="inlineStr">
        <x:is>
          <x:t xml:space="preserve">4.6</x:t>
        </x:is>
      </x:c>
      <x:c r="I38" s="3" t="inlineStr">
        <x:is>
          <x:t xml:space="preserve">BE/FE</x:t>
        </x:is>
      </x:c>
      <x:c r="J38" s="9" t="inlineStr">
        <x:is>
          <x:t xml:space="preserve">중</x:t>
        </x:is>
      </x:c>
      <x:c r="K38" s="3">
        <x:f>IF($J38="","",VLOOKUP($J38,Assumptions!$A$11:$C$14,2,FALSE))</x:f>
        <x:v>3</x:v>
      </x:c>
      <x:c r="L38" s="11">
        <x:f>IF($J38="","",VLOOKUP($J38,Assumptions!$A$11:$C$14,3,FALSE)+Assumptions!$G$11)</x:f>
        <x:v>0.15</x:v>
      </x:c>
      <x:c r="M38" s="3">
        <x:f>IF($K38="","",ROUNDUP($K38*$L38,0))</x:f>
        <x:v>1</x:v>
      </x:c>
      <x:c r="N38" s="3">
        <x:f>IF($K38="","",$K38+$M38)</x:f>
        <x:v>4</x:v>
      </x:c>
      <x:c r="O38" s="12" t="n"/>
      <x:c r="P38" s="3">
        <x:f>IF($O38="",$N38,$O38)</x:f>
        <x:v>4</x:v>
      </x:c>
      <x:c r="Q38" s="13" t="n"/>
      <x:c r="R38" s="3">
        <x:f>IF($Q38="","",ROUND($P38*$Q38,2))</x:f>
      </x:c>
      <x:c r="S38" s="3">
        <x:f>IF($Q38="","",$P38-$R38)</x:f>
      </x:c>
      <x:c r="T38" s="9" t="str">
        <x:f>IF($Q38="","미착수",IF($Q38&gt;=1,"완료","진행중"))</x:f>
        <x:v>미착수</x:v>
      </x:c>
      <x:c r="U38" s="14" t="n"/>
      <x:c r="V38" s="15">
        <x:f>IF($U38="","",$U38+$P38-1)</x:f>
      </x:c>
      <x:c r="W38" s="3" t="inlineStr">
        <x:is>
          <x:t xml:space="preserve">공지 수정/삭제</x:t>
        </x:is>
      </x:c>
      <x:c r="X38" s="3" t="inlineStr">
        <x:is>
          <x:t xml:space="preserve">p4-5</x:t>
        </x:is>
      </x:c>
    </x:row>
    <x:row r="39" ht="42" customHeight="1">
      <x:c r="A39" s="9" t="inlineStr">
        <x:is>
          <x:t xml:space="preserve">4.8</x:t>
        </x:is>
      </x:c>
      <x:c r="B39" s="3" t="inlineStr">
        <x:is>
          <x:t xml:space="preserve">개발</x:t>
        </x:is>
      </x:c>
      <x:c r="C39" s="3" t="inlineStr">
        <x:is>
          <x:t xml:space="preserve">공지</x:t>
        </x:is>
      </x:c>
      <x:c r="D39" s="3" t="inlineStr">
        <x:is>
          <x:t xml:space="preserve">Hashtag</x:t>
        </x:is>
      </x:c>
      <x:c r="E39" s="3" t="inlineStr">
        <x:is>
          <x:t xml:space="preserve">해시태그 입력/저장/검색 지원</x:t>
        </x:is>
      </x:c>
      <x:c r="F39" s="10" t="inlineStr">
        <x:is>
          <x:t xml:space="preserve">태그 입력, 검색어로 History/공지 조회 지원</x:t>
        </x:is>
      </x:c>
      <x:c r="G39" s="10" t="inlineStr">
        <x:is>
          <x:t xml:space="preserve">태그 기능(p4)</x:t>
        </x:is>
      </x:c>
      <x:c r="H39" s="3" t="inlineStr">
        <x:is>
          <x:t xml:space="preserve">4.6</x:t>
        </x:is>
      </x:c>
      <x:c r="I39" s="3" t="inlineStr">
        <x:is>
          <x:t xml:space="preserve">BE/FE</x:t>
        </x:is>
      </x:c>
      <x:c r="J39" s="9" t="inlineStr">
        <x:is>
          <x:t xml:space="preserve">중</x:t>
        </x:is>
      </x:c>
      <x:c r="K39" s="3">
        <x:f>IF($J39="","",VLOOKUP($J39,Assumptions!$A$11:$C$14,2,FALSE))</x:f>
        <x:v>3</x:v>
      </x:c>
      <x:c r="L39" s="11">
        <x:f>IF($J39="","",VLOOKUP($J39,Assumptions!$A$11:$C$14,3,FALSE)+Assumptions!$G$11)</x:f>
        <x:v>0.15</x:v>
      </x:c>
      <x:c r="M39" s="3">
        <x:f>IF($K39="","",ROUNDUP($K39*$L39,0))</x:f>
        <x:v>1</x:v>
      </x:c>
      <x:c r="N39" s="3">
        <x:f>IF($K39="","",$K39+$M39)</x:f>
        <x:v>4</x:v>
      </x:c>
      <x:c r="O39" s="12" t="n"/>
      <x:c r="P39" s="3">
        <x:f>IF($O39="",$N39,$O39)</x:f>
        <x:v>4</x:v>
      </x:c>
      <x:c r="Q39" s="13" t="n"/>
      <x:c r="R39" s="3">
        <x:f>IF($Q39="","",ROUND($P39*$Q39,2))</x:f>
      </x:c>
      <x:c r="S39" s="3">
        <x:f>IF($Q39="","",$P39-$R39)</x:f>
      </x:c>
      <x:c r="T39" s="9" t="str">
        <x:f>IF($Q39="","미착수",IF($Q39&gt;=1,"완료","진행중"))</x:f>
        <x:v>미착수</x:v>
      </x:c>
      <x:c r="U39" s="14" t="n"/>
      <x:c r="V39" s="15">
        <x:f>IF($U39="","",$U39+$P39-1)</x:f>
      </x:c>
      <x:c r="W39" s="3" t="inlineStr">
        <x:is>
          <x:t xml:space="preserve">태그 기능</x:t>
        </x:is>
      </x:c>
      <x:c r="X39" s="3" t="inlineStr">
        <x:is>
          <x:t xml:space="preserve">p4</x:t>
        </x:is>
      </x:c>
    </x:row>
    <x:row r="40" ht="42" customHeight="1">
      <x:c r="A40" s="9" t="inlineStr">
        <x:is>
          <x:t xml:space="preserve">4.9</x:t>
        </x:is>
      </x:c>
      <x:c r="B40" s="3" t="inlineStr">
        <x:is>
          <x:t xml:space="preserve">개발</x:t>
        </x:is>
      </x:c>
      <x:c r="C40" s="3" t="inlineStr">
        <x:is>
          <x:t xml:space="preserve">공지</x:t>
        </x:is>
      </x:c>
      <x:c r="D40" s="3" t="inlineStr">
        <x:is>
          <x:t xml:space="preserve">Outlook Option</x:t>
        </x:is>
      </x:c>
      <x:c r="E40" s="3" t="inlineStr">
        <x:is>
          <x:t xml:space="preserve">Outlook 일정 등록 옵션 저장</x:t>
        </x:is>
      </x:c>
      <x:c r="F40" s="10" t="inlineStr">
        <x:is>
          <x:t xml:space="preserve">일정등록 선택/일정시간 저장</x:t>
        </x:is>
      </x:c>
      <x:c r="G40" s="10" t="inlineStr">
        <x:is>
          <x:t xml:space="preserve">일정등록 옵션(p4)</x:t>
        </x:is>
      </x:c>
      <x:c r="H40" s="3" t="inlineStr">
        <x:is>
          <x:t xml:space="preserve">4.6</x:t>
        </x:is>
      </x:c>
      <x:c r="I40" s="3" t="inlineStr">
        <x:is>
          <x:t xml:space="preserve">BE/FE</x:t>
        </x:is>
      </x:c>
      <x:c r="J40" s="9" t="inlineStr">
        <x:is>
          <x:t xml:space="preserve">중</x:t>
        </x:is>
      </x:c>
      <x:c r="K40" s="3">
        <x:f>IF($J40="","",VLOOKUP($J40,Assumptions!$A$11:$C$14,2,FALSE))</x:f>
        <x:v>3</x:v>
      </x:c>
      <x:c r="L40" s="11">
        <x:f>IF($J40="","",VLOOKUP($J40,Assumptions!$A$11:$C$14,3,FALSE)+Assumptions!$G$11)</x:f>
        <x:v>0.15</x:v>
      </x:c>
      <x:c r="M40" s="3">
        <x:f>IF($K40="","",ROUNDUP($K40*$L40,0))</x:f>
        <x:v>1</x:v>
      </x:c>
      <x:c r="N40" s="3">
        <x:f>IF($K40="","",$K40+$M40)</x:f>
        <x:v>4</x:v>
      </x:c>
      <x:c r="O40" s="12" t="n"/>
      <x:c r="P40" s="3">
        <x:f>IF($O40="",$N40,$O40)</x:f>
        <x:v>4</x:v>
      </x:c>
      <x:c r="Q40" s="13" t="n"/>
      <x:c r="R40" s="3">
        <x:f>IF($Q40="","",ROUND($P40*$Q40,2))</x:f>
      </x:c>
      <x:c r="S40" s="3">
        <x:f>IF($Q40="","",$P40-$R40)</x:f>
      </x:c>
      <x:c r="T40" s="9" t="str">
        <x:f>IF($Q40="","미착수",IF($Q40&gt;=1,"완료","진행중"))</x:f>
        <x:v>미착수</x:v>
      </x:c>
      <x:c r="U40" s="14" t="n"/>
      <x:c r="V40" s="15">
        <x:f>IF($U40="","",$U40+$P40-1)</x:f>
      </x:c>
      <x:c r="W40" s="3" t="inlineStr">
        <x:is>
          <x:t xml:space="preserve">일정 옵션 필드</x:t>
        </x:is>
      </x:c>
      <x:c r="X40" s="3" t="inlineStr">
        <x:is>
          <x:t xml:space="preserve">p4</x:t>
        </x:is>
      </x:c>
    </x:row>
    <x:row r="41" ht="42" customHeight="1">
      <x:c r="A41" s="9" t="inlineStr">
        <x:is>
          <x:t xml:space="preserve">5.1</x:t>
        </x:is>
      </x:c>
      <x:c r="B41" s="3" t="inlineStr">
        <x:is>
          <x:t xml:space="preserve">개발</x:t>
        </x:is>
      </x:c>
      <x:c r="C41" s="3" t="inlineStr">
        <x:is>
          <x:t xml:space="preserve">승인</x:t>
        </x:is>
      </x:c>
      <x:c r="D41" s="3" t="inlineStr">
        <x:is>
          <x:t xml:space="preserve">Approval</x:t>
        </x:is>
      </x:c>
      <x:c r="E41" s="3" t="inlineStr">
        <x:is>
          <x:t xml:space="preserve">승인요청 자동 상신</x:t>
        </x:is>
      </x:c>
      <x:c r="F41" s="10" t="inlineStr">
        <x:is>
          <x:t xml:space="preserve">공지 등록 완료 시 매니저에게 승인요청 생성/알림</x:t>
        </x:is>
      </x:c>
      <x:c r="G41" s="10" t="inlineStr">
        <x:is>
          <x:t xml:space="preserve">자동 상신(p4)</x:t>
        </x:is>
      </x:c>
      <x:c r="H41" s="3" t="inlineStr">
        <x:is>
          <x:t xml:space="preserve">4.6</x:t>
        </x:is>
      </x:c>
      <x:c r="I41" s="3" t="inlineStr">
        <x:is>
          <x:t xml:space="preserve">BE</x:t>
        </x:is>
      </x:c>
      <x:c r="J41" s="9" t="inlineStr">
        <x:is>
          <x:t xml:space="preserve">상</x:t>
        </x:is>
      </x:c>
      <x:c r="K41" s="3">
        <x:f>IF($J41="","",VLOOKUP($J41,Assumptions!$A$11:$C$14,2,FALSE))</x:f>
        <x:v>5</x:v>
      </x:c>
      <x:c r="L41" s="11">
        <x:f>IF($J41="","",VLOOKUP($J41,Assumptions!$A$11:$C$14,3,FALSE)+Assumptions!$G$11)</x:f>
        <x:v>0.2</x:v>
      </x:c>
      <x:c r="M41" s="3">
        <x:f>IF($K41="","",ROUNDUP($K41*$L41,0))</x:f>
        <x:v>1</x:v>
      </x:c>
      <x:c r="N41" s="3">
        <x:f>IF($K41="","",$K41+$M41)</x:f>
        <x:v>6</x:v>
      </x:c>
      <x:c r="O41" s="12" t="n"/>
      <x:c r="P41" s="3">
        <x:f>IF($O41="",$N41,$O41)</x:f>
        <x:v>6</x:v>
      </x:c>
      <x:c r="Q41" s="13" t="n"/>
      <x:c r="R41" s="3">
        <x:f>IF($Q41="","",ROUND($P41*$Q41,2))</x:f>
      </x:c>
      <x:c r="S41" s="3">
        <x:f>IF($Q41="","",$P41-$R41)</x:f>
      </x:c>
      <x:c r="T41" s="9" t="str">
        <x:f>IF($Q41="","미착수",IF($Q41&gt;=1,"완료","진행중"))</x:f>
        <x:v>미착수</x:v>
      </x:c>
      <x:c r="U41" s="14" t="n"/>
      <x:c r="V41" s="15">
        <x:f>IF($U41="","",$U41+$P41-1)</x:f>
      </x:c>
      <x:c r="W41" s="3" t="inlineStr">
        <x:is>
          <x:t xml:space="preserve">승인요청 생성</x:t>
        </x:is>
      </x:c>
      <x:c r="X41" s="3" t="inlineStr">
        <x:is>
          <x:t xml:space="preserve">p4-5</x:t>
        </x:is>
      </x:c>
    </x:row>
    <x:row r="42" ht="42" customHeight="1">
      <x:c r="A42" s="9" t="inlineStr">
        <x:is>
          <x:t xml:space="preserve">5.2</x:t>
        </x:is>
      </x:c>
      <x:c r="B42" s="3" t="inlineStr">
        <x:is>
          <x:t xml:space="preserve">개발</x:t>
        </x:is>
      </x:c>
      <x:c r="C42" s="3" t="inlineStr">
        <x:is>
          <x:t xml:space="preserve">승인</x:t>
        </x:is>
      </x:c>
      <x:c r="D42" s="3" t="inlineStr">
        <x:is>
          <x:t xml:space="preserve">Approval</x:t>
        </x:is>
      </x:c>
      <x:c r="E42" s="3" t="inlineStr">
        <x:is>
          <x:t xml:space="preserve">승인대기 목록 UI</x:t>
        </x:is>
      </x:c>
      <x:c r="F42" s="10" t="inlineStr">
        <x:is>
          <x:t xml:space="preserve">승인요청 목록 조회, 검색/필터(법인/기간/상태)</x:t>
        </x:is>
      </x:c>
      <x:c r="G42" s="10" t="inlineStr">
        <x:is>
          <x:t xml:space="preserve">승인 목록(p5)</x:t>
        </x:is>
      </x:c>
      <x:c r="H42" s="3" t="inlineStr">
        <x:is>
          <x:t xml:space="preserve">3.5</x:t>
        </x:is>
      </x:c>
      <x:c r="I42" s="3" t="inlineStr">
        <x:is>
          <x:t xml:space="preserve">FE</x:t>
        </x:is>
      </x:c>
      <x:c r="J42" s="9" t="inlineStr">
        <x:is>
          <x:t xml:space="preserve">중</x:t>
        </x:is>
      </x:c>
      <x:c r="K42" s="3">
        <x:f>IF($J42="","",VLOOKUP($J42,Assumptions!$A$11:$C$14,2,FALSE))</x:f>
        <x:v>3</x:v>
      </x:c>
      <x:c r="L42" s="11">
        <x:f>IF($J42="","",VLOOKUP($J42,Assumptions!$A$11:$C$14,3,FALSE)+Assumptions!$G$11)</x:f>
        <x:v>0.15</x:v>
      </x:c>
      <x:c r="M42" s="3">
        <x:f>IF($K42="","",ROUNDUP($K42*$L42,0))</x:f>
        <x:v>1</x:v>
      </x:c>
      <x:c r="N42" s="3">
        <x:f>IF($K42="","",$K42+$M42)</x:f>
        <x:v>4</x:v>
      </x:c>
      <x:c r="O42" s="12" t="n"/>
      <x:c r="P42" s="3">
        <x:f>IF($O42="",$N42,$O42)</x:f>
        <x:v>4</x:v>
      </x:c>
      <x:c r="Q42" s="13" t="n"/>
      <x:c r="R42" s="3">
        <x:f>IF($Q42="","",ROUND($P42*$Q42,2))</x:f>
      </x:c>
      <x:c r="S42" s="3">
        <x:f>IF($Q42="","",$P42-$R42)</x:f>
      </x:c>
      <x:c r="T42" s="9" t="str">
        <x:f>IF($Q42="","미착수",IF($Q42&gt;=1,"완료","진행중"))</x:f>
        <x:v>미착수</x:v>
      </x:c>
      <x:c r="U42" s="14" t="n"/>
      <x:c r="V42" s="15">
        <x:f>IF($U42="","",$U42+$P42-1)</x:f>
      </x:c>
      <x:c r="W42" s="3" t="inlineStr">
        <x:is>
          <x:t xml:space="preserve">승인목록 화면</x:t>
        </x:is>
      </x:c>
      <x:c r="X42" s="3" t="inlineStr">
        <x:is>
          <x:t xml:space="preserve">p5</x:t>
        </x:is>
      </x:c>
    </x:row>
    <x:row r="43" ht="42" customHeight="1">
      <x:c r="A43" s="9" t="inlineStr">
        <x:is>
          <x:t xml:space="preserve">5.3</x:t>
        </x:is>
      </x:c>
      <x:c r="B43" s="3" t="inlineStr">
        <x:is>
          <x:t xml:space="preserve">개발</x:t>
        </x:is>
      </x:c>
      <x:c r="C43" s="3" t="inlineStr">
        <x:is>
          <x:t xml:space="preserve">승인</x:t>
        </x:is>
      </x:c>
      <x:c r="D43" s="3" t="inlineStr">
        <x:is>
          <x:t xml:space="preserve">Approval</x:t>
        </x:is>
      </x:c>
      <x:c r="E43" s="3" t="inlineStr">
        <x:is>
          <x:t xml:space="preserve">승인 상세 UI/처리(승인/반려)</x:t>
        </x:is>
      </x:c>
      <x:c r="F43" s="10" t="inlineStr">
        <x:is>
          <x:t xml:space="preserve">상세보기, 코멘트(선택), 승인/반려 버튼, 이력 저장</x:t>
        </x:is>
      </x:c>
      <x:c r="G43" s="10" t="inlineStr">
        <x:is>
          <x:t xml:space="preserve">승인체계(p5)</x:t>
        </x:is>
      </x:c>
      <x:c r="H43" s="3" t="inlineStr">
        <x:is>
          <x:t xml:space="preserve">5.2</x:t>
        </x:is>
      </x:c>
      <x:c r="I43" s="3" t="inlineStr">
        <x:is>
          <x:t xml:space="preserve">FE/BE</x:t>
        </x:is>
      </x:c>
      <x:c r="J43" s="9" t="inlineStr">
        <x:is>
          <x:t xml:space="preserve">상</x:t>
        </x:is>
      </x:c>
      <x:c r="K43" s="3">
        <x:f>IF($J43="","",VLOOKUP($J43,Assumptions!$A$11:$C$14,2,FALSE))</x:f>
        <x:v>5</x:v>
      </x:c>
      <x:c r="L43" s="11">
        <x:f>IF($J43="","",VLOOKUP($J43,Assumptions!$A$11:$C$14,3,FALSE)+Assumptions!$G$11)</x:f>
        <x:v>0.2</x:v>
      </x:c>
      <x:c r="M43" s="3">
        <x:f>IF($K43="","",ROUNDUP($K43*$L43,0))</x:f>
        <x:v>1</x:v>
      </x:c>
      <x:c r="N43" s="3">
        <x:f>IF($K43="","",$K43+$M43)</x:f>
        <x:v>6</x:v>
      </x:c>
      <x:c r="O43" s="12" t="n"/>
      <x:c r="P43" s="3">
        <x:f>IF($O43="",$N43,$O43)</x:f>
        <x:v>6</x:v>
      </x:c>
      <x:c r="Q43" s="13" t="n"/>
      <x:c r="R43" s="3">
        <x:f>IF($Q43="","",ROUND($P43*$Q43,2))</x:f>
      </x:c>
      <x:c r="S43" s="3">
        <x:f>IF($Q43="","",$P43-$R43)</x:f>
      </x:c>
      <x:c r="T43" s="9" t="str">
        <x:f>IF($Q43="","미착수",IF($Q43&gt;=1,"완료","진행중"))</x:f>
        <x:v>미착수</x:v>
      </x:c>
      <x:c r="U43" s="14" t="n"/>
      <x:c r="V43" s="15">
        <x:f>IF($U43="","",$U43+$P43-1)</x:f>
      </x:c>
      <x:c r="W43" s="3" t="inlineStr">
        <x:is>
          <x:t xml:space="preserve">승인 처리 화면/로직</x:t>
        </x:is>
      </x:c>
      <x:c r="X43" s="3" t="inlineStr">
        <x:is>
          <x:t xml:space="preserve">p5</x:t>
        </x:is>
      </x:c>
    </x:row>
    <x:row r="44" ht="42" customHeight="1">
      <x:c r="A44" s="9" t="inlineStr">
        <x:is>
          <x:t xml:space="preserve">5.4</x:t>
        </x:is>
      </x:c>
      <x:c r="B44" s="3" t="inlineStr">
        <x:is>
          <x:t xml:space="preserve">개발</x:t>
        </x:is>
      </x:c>
      <x:c r="C44" s="3" t="inlineStr">
        <x:is>
          <x:t xml:space="preserve">승인</x:t>
        </x:is>
      </x:c>
      <x:c r="D44" s="3" t="inlineStr">
        <x:is>
          <x:t xml:space="preserve">Approval</x:t>
        </x:is>
      </x:c>
      <x:c r="E44" s="3" t="inlineStr">
        <x:is>
          <x:t xml:space="preserve">승인 상태값/전이 로직 구현</x:t>
        </x:is>
      </x:c>
      <x:c r="F44" s="10" t="inlineStr">
        <x:is>
          <x:t xml:space="preserve">승인대기→발송대기/반려, 반려 후 수정→재요청</x:t>
        </x:is>
      </x:c>
      <x:c r="G44" s="10" t="inlineStr">
        <x:is>
          <x:t xml:space="preserve">업무 통제 핵심</x:t>
        </x:is>
      </x:c>
      <x:c r="H44" s="3" t="inlineStr">
        <x:is>
          <x:t xml:space="preserve">5.1</x:t>
        </x:is>
      </x:c>
      <x:c r="I44" s="3" t="inlineStr">
        <x:is>
          <x:t xml:space="preserve">BE</x:t>
        </x:is>
      </x:c>
      <x:c r="J44" s="9" t="inlineStr">
        <x:is>
          <x:t xml:space="preserve">상</x:t>
        </x:is>
      </x:c>
      <x:c r="K44" s="3">
        <x:f>IF($J44="","",VLOOKUP($J44,Assumptions!$A$11:$C$14,2,FALSE))</x:f>
        <x:v>5</x:v>
      </x:c>
      <x:c r="L44" s="11">
        <x:f>IF($J44="","",VLOOKUP($J44,Assumptions!$A$11:$C$14,3,FALSE)+Assumptions!$G$11)</x:f>
        <x:v>0.2</x:v>
      </x:c>
      <x:c r="M44" s="3">
        <x:f>IF($K44="","",ROUNDUP($K44*$L44,0))</x:f>
        <x:v>1</x:v>
      </x:c>
      <x:c r="N44" s="3">
        <x:f>IF($K44="","",$K44+$M44)</x:f>
        <x:v>6</x:v>
      </x:c>
      <x:c r="O44" s="12" t="n"/>
      <x:c r="P44" s="3">
        <x:f>IF($O44="",$N44,$O44)</x:f>
        <x:v>6</x:v>
      </x:c>
      <x:c r="Q44" s="13" t="n"/>
      <x:c r="R44" s="3">
        <x:f>IF($Q44="","",ROUND($P44*$Q44,2))</x:f>
      </x:c>
      <x:c r="S44" s="3">
        <x:f>IF($Q44="","",$P44-$R44)</x:f>
      </x:c>
      <x:c r="T44" s="9" t="str">
        <x:f>IF($Q44="","미착수",IF($Q44&gt;=1,"완료","진행중"))</x:f>
        <x:v>미착수</x:v>
      </x:c>
      <x:c r="U44" s="14" t="n"/>
      <x:c r="V44" s="15">
        <x:f>IF($U44="","",$U44+$P44-1)</x:f>
      </x:c>
      <x:c r="W44" s="3" t="inlineStr">
        <x:is>
          <x:t xml:space="preserve">상태 전이 로직</x:t>
        </x:is>
      </x:c>
      <x:c r="X44" s="3" t="inlineStr">
        <x:is>
          <x:t xml:space="preserve">p5</x:t>
        </x:is>
      </x:c>
    </x:row>
    <x:row r="45" ht="42" customHeight="1">
      <x:c r="A45" s="9" t="inlineStr">
        <x:is>
          <x:t xml:space="preserve">5.5</x:t>
        </x:is>
      </x:c>
      <x:c r="B45" s="3" t="inlineStr">
        <x:is>
          <x:t xml:space="preserve">개발</x:t>
        </x:is>
      </x:c>
      <x:c r="C45" s="3" t="inlineStr">
        <x:is>
          <x:t xml:space="preserve">발송</x:t>
        </x:is>
      </x:c>
      <x:c r="D45" s="3" t="inlineStr">
        <x:is>
          <x:t xml:space="preserve">Template</x:t>
        </x:is>
      </x:c>
      <x:c r="E45" s="3" t="inlineStr">
        <x:is>
          <x:t xml:space="preserve">메일 템플릿/본문 렌더링</x:t>
        </x:is>
      </x:c>
      <x:c r="F45" s="10" t="inlineStr">
        <x:is>
          <x:t xml:space="preserve">공지제목/내용/문의처/해시태그 등을 표준 포맷으로 생성</x:t>
        </x:is>
      </x:c>
      <x:c r="G45" s="10" t="inlineStr">
        <x:is>
          <x:t xml:space="preserve">메일 발송(p3-4)</x:t>
        </x:is>
      </x:c>
      <x:c r="H45" s="3" t="inlineStr">
        <x:is>
          <x:t xml:space="preserve">3.3</x:t>
        </x:is>
      </x:c>
      <x:c r="I45" s="3" t="inlineStr">
        <x:is>
          <x:t xml:space="preserve">BE</x:t>
        </x:is>
      </x:c>
      <x:c r="J45" s="9" t="inlineStr">
        <x:is>
          <x:t xml:space="preserve">중</x:t>
        </x:is>
      </x:c>
      <x:c r="K45" s="3">
        <x:f>IF($J45="","",VLOOKUP($J45,Assumptions!$A$11:$C$14,2,FALSE))</x:f>
        <x:v>3</x:v>
      </x:c>
      <x:c r="L45" s="11">
        <x:f>IF($J45="","",VLOOKUP($J45,Assumptions!$A$11:$C$14,3,FALSE)+Assumptions!$G$11)</x:f>
        <x:v>0.15</x:v>
      </x:c>
      <x:c r="M45" s="3">
        <x:f>IF($K45="","",ROUNDUP($K45*$L45,0))</x:f>
        <x:v>1</x:v>
      </x:c>
      <x:c r="N45" s="3">
        <x:f>IF($K45="","",$K45+$M45)</x:f>
        <x:v>4</x:v>
      </x:c>
      <x:c r="O45" s="12" t="n"/>
      <x:c r="P45" s="3">
        <x:f>IF($O45="",$N45,$O45)</x:f>
        <x:v>4</x:v>
      </x:c>
      <x:c r="Q45" s="13" t="n"/>
      <x:c r="R45" s="3">
        <x:f>IF($Q45="","",ROUND($P45*$Q45,2))</x:f>
      </x:c>
      <x:c r="S45" s="3">
        <x:f>IF($Q45="","",$P45-$R45)</x:f>
      </x:c>
      <x:c r="T45" s="9" t="str">
        <x:f>IF($Q45="","미착수",IF($Q45&gt;=1,"완료","진행중"))</x:f>
        <x:v>미착수</x:v>
      </x:c>
      <x:c r="U45" s="14" t="n"/>
      <x:c r="V45" s="15">
        <x:f>IF($U45="","",$U45+$P45-1)</x:f>
      </x:c>
      <x:c r="W45" s="3" t="inlineStr">
        <x:is>
          <x:t xml:space="preserve">메일 템플릿</x:t>
        </x:is>
      </x:c>
      <x:c r="X45" s="3" t="inlineStr">
        <x:is>
          <x:t xml:space="preserve">p3-4</x:t>
        </x:is>
      </x:c>
    </x:row>
    <x:row r="46" ht="42" customHeight="1">
      <x:c r="A46" s="9" t="inlineStr">
        <x:is>
          <x:t xml:space="preserve">5.6</x:t>
        </x:is>
      </x:c>
      <x:c r="B46" s="3" t="inlineStr">
        <x:is>
          <x:t xml:space="preserve">개발</x:t>
        </x:is>
      </x:c>
      <x:c r="C46" s="3" t="inlineStr">
        <x:is>
          <x:t xml:space="preserve">발송</x:t>
        </x:is>
      </x:c>
      <x:c r="D46" s="3" t="inlineStr">
        <x:is>
          <x:t xml:space="preserve">Batch Send</x:t>
        </x:is>
      </x:c>
      <x:c r="E46" s="3" t="inlineStr">
        <x:is>
          <x:t xml:space="preserve">정기 발송 배치(오전/오후) 구현</x:t>
        </x:is>
      </x:c>
      <x:c r="F46" s="10" t="inlineStr">
        <x:is>
          <x:t xml:space="preserve">정기 시간에 해당 시간대 공지 묶음 조회→1메일로 발송</x:t>
        </x:is>
      </x:c>
      <x:c r="G46" s="10" t="inlineStr">
        <x:is>
          <x:t xml:space="preserve">정기발송 묶음(p4)</x:t>
        </x:is>
      </x:c>
      <x:c r="H46" s="3" t="inlineStr">
        <x:is>
          <x:t xml:space="preserve">3.8</x:t>
        </x:is>
      </x:c>
      <x:c r="I46" s="3" t="inlineStr">
        <x:is>
          <x:t xml:space="preserve">BE</x:t>
        </x:is>
      </x:c>
      <x:c r="J46" s="9" t="inlineStr">
        <x:is>
          <x:t xml:space="preserve">초상</x:t>
        </x:is>
      </x:c>
      <x:c r="K46" s="3">
        <x:f>IF($J46="","",VLOOKUP($J46,Assumptions!$A$11:$C$14,2,FALSE))</x:f>
        <x:v>7</x:v>
      </x:c>
      <x:c r="L46" s="11">
        <x:f>IF($J46="","",VLOOKUP($J46,Assumptions!$A$11:$C$14,3,FALSE)+Assumptions!$G$11)</x:f>
        <x:v>0.25</x:v>
      </x:c>
      <x:c r="M46" s="3">
        <x:f>IF($K46="","",ROUNDUP($K46*$L46,0))</x:f>
        <x:v>2</x:v>
      </x:c>
      <x:c r="N46" s="3">
        <x:f>IF($K46="","",$K46+$M46)</x:f>
        <x:v>9</x:v>
      </x:c>
      <x:c r="O46" s="12" t="n"/>
      <x:c r="P46" s="3">
        <x:f>IF($O46="",$N46,$O46)</x:f>
        <x:v>9</x:v>
      </x:c>
      <x:c r="Q46" s="13" t="n"/>
      <x:c r="R46" s="3">
        <x:f>IF($Q46="","",ROUND($P46*$Q46,2))</x:f>
      </x:c>
      <x:c r="S46" s="3">
        <x:f>IF($Q46="","",$P46-$R46)</x:f>
      </x:c>
      <x:c r="T46" s="9" t="str">
        <x:f>IF($Q46="","미착수",IF($Q46&gt;=1,"완료","진행중"))</x:f>
        <x:v>미착수</x:v>
      </x:c>
      <x:c r="U46" s="14" t="n"/>
      <x:c r="V46" s="15">
        <x:f>IF($U46="","",$U46+$P46-1)</x:f>
      </x:c>
      <x:c r="W46" s="3" t="inlineStr">
        <x:is>
          <x:t xml:space="preserve">정기 발송 배치</x:t>
        </x:is>
      </x:c>
      <x:c r="X46" s="3" t="inlineStr">
        <x:is>
          <x:t xml:space="preserve">p4</x:t>
        </x:is>
      </x:c>
    </x:row>
    <x:row r="47" ht="42" customHeight="1">
      <x:c r="A47" s="9" t="inlineStr">
        <x:is>
          <x:t xml:space="preserve">5.7</x:t>
        </x:is>
      </x:c>
      <x:c r="B47" s="3" t="inlineStr">
        <x:is>
          <x:t xml:space="preserve">개발</x:t>
        </x:is>
      </x:c>
      <x:c r="C47" s="3" t="inlineStr">
        <x:is>
          <x:t xml:space="preserve">발송</x:t>
        </x:is>
      </x:c>
      <x:c r="D47" s="3" t="inlineStr">
        <x:is>
          <x:t xml:space="preserve">Immediate Send</x:t>
        </x:is>
      </x:c>
      <x:c r="E47" s="3" t="inlineStr">
        <x:is>
          <x:t xml:space="preserve">즉시 발송 처리 구현</x:t>
        </x:is>
      </x:c>
      <x:c r="F47" s="10" t="inlineStr">
        <x:is>
          <x:t xml:space="preserve">즉시 발송 시간 선택 시 큐 적재 후 즉시 처리</x:t>
        </x:is>
      </x:c>
      <x:c r="G47" s="10" t="inlineStr">
        <x:is>
          <x:t xml:space="preserve">즉시 발송 옵션(p4)</x:t>
        </x:is>
      </x:c>
      <x:c r="H47" s="3" t="inlineStr">
        <x:is>
          <x:t xml:space="preserve">3.8</x:t>
        </x:is>
      </x:c>
      <x:c r="I47" s="3" t="inlineStr">
        <x:is>
          <x:t xml:space="preserve">BE</x:t>
        </x:is>
      </x:c>
      <x:c r="J47" s="9" t="inlineStr">
        <x:is>
          <x:t xml:space="preserve">상</x:t>
        </x:is>
      </x:c>
      <x:c r="K47" s="3">
        <x:f>IF($J47="","",VLOOKUP($J47,Assumptions!$A$11:$C$14,2,FALSE))</x:f>
        <x:v>5</x:v>
      </x:c>
      <x:c r="L47" s="11">
        <x:f>IF($J47="","",VLOOKUP($J47,Assumptions!$A$11:$C$14,3,FALSE)+Assumptions!$G$11)</x:f>
        <x:v>0.2</x:v>
      </x:c>
      <x:c r="M47" s="3">
        <x:f>IF($K47="","",ROUNDUP($K47*$L47,0))</x:f>
        <x:v>1</x:v>
      </x:c>
      <x:c r="N47" s="3">
        <x:f>IF($K47="","",$K47+$M47)</x:f>
        <x:v>6</x:v>
      </x:c>
      <x:c r="O47" s="12" t="n"/>
      <x:c r="P47" s="3">
        <x:f>IF($O47="",$N47,$O47)</x:f>
        <x:v>6</x:v>
      </x:c>
      <x:c r="Q47" s="13" t="n"/>
      <x:c r="R47" s="3">
        <x:f>IF($Q47="","",ROUND($P47*$Q47,2))</x:f>
      </x:c>
      <x:c r="S47" s="3">
        <x:f>IF($Q47="","",$P47-$R47)</x:f>
      </x:c>
      <x:c r="T47" s="9" t="str">
        <x:f>IF($Q47="","미착수",IF($Q47&gt;=1,"완료","진행중"))</x:f>
        <x:v>미착수</x:v>
      </x:c>
      <x:c r="U47" s="14" t="n"/>
      <x:c r="V47" s="15">
        <x:f>IF($U47="","",$U47+$P47-1)</x:f>
      </x:c>
      <x:c r="W47" s="3" t="inlineStr">
        <x:is>
          <x:t xml:space="preserve">즉시 발송</x:t>
        </x:is>
      </x:c>
      <x:c r="X47" s="3" t="inlineStr">
        <x:is>
          <x:t xml:space="preserve">p4</x:t>
        </x:is>
      </x:c>
    </x:row>
    <x:row r="48" ht="42" customHeight="1">
      <x:c r="A48" s="9" t="inlineStr">
        <x:is>
          <x:t xml:space="preserve">5.8</x:t>
        </x:is>
      </x:c>
      <x:c r="B48" s="3" t="inlineStr">
        <x:is>
          <x:t xml:space="preserve">개발</x:t>
        </x:is>
      </x:c>
      <x:c r="C48" s="3" t="inlineStr">
        <x:is>
          <x:t xml:space="preserve">발송</x:t>
        </x:is>
      </x:c>
      <x:c r="D48" s="3" t="inlineStr">
        <x:is>
          <x:t xml:space="preserve">Queue</x:t>
        </x:is>
      </x:c>
      <x:c r="E48" s="3" t="inlineStr">
        <x:is>
          <x:t xml:space="preserve">발송 큐/재시도(실패 처리) 구현</x:t>
        </x:is>
      </x:c>
      <x:c r="F48" s="10" t="inlineStr">
        <x:is>
          <x:t xml:space="preserve">발송실패 시 재시도 정책, 실패 사유 저장</x:t>
        </x:is>
      </x:c>
      <x:c r="G48" s="10" t="inlineStr">
        <x:is>
          <x:t xml:space="preserve">발송실패 상태(p5)</x:t>
        </x:is>
      </x:c>
      <x:c r="H48" s="3" t="inlineStr">
        <x:is>
          <x:t xml:space="preserve">5.6</x:t>
        </x:is>
      </x:c>
      <x:c r="I48" s="3" t="inlineStr">
        <x:is>
          <x:t xml:space="preserve">BE</x:t>
        </x:is>
      </x:c>
      <x:c r="J48" s="9" t="inlineStr">
        <x:is>
          <x:t xml:space="preserve">초상</x:t>
        </x:is>
      </x:c>
      <x:c r="K48" s="3">
        <x:f>IF($J48="","",VLOOKUP($J48,Assumptions!$A$11:$C$14,2,FALSE))</x:f>
        <x:v>7</x:v>
      </x:c>
      <x:c r="L48" s="11">
        <x:f>IF($J48="","",VLOOKUP($J48,Assumptions!$A$11:$C$14,3,FALSE)+Assumptions!$G$11)</x:f>
        <x:v>0.25</x:v>
      </x:c>
      <x:c r="M48" s="3">
        <x:f>IF($K48="","",ROUNDUP($K48*$L48,0))</x:f>
        <x:v>2</x:v>
      </x:c>
      <x:c r="N48" s="3">
        <x:f>IF($K48="","",$K48+$M48)</x:f>
        <x:v>9</x:v>
      </x:c>
      <x:c r="O48" s="12" t="n"/>
      <x:c r="P48" s="3">
        <x:f>IF($O48="",$N48,$O48)</x:f>
        <x:v>9</x:v>
      </x:c>
      <x:c r="Q48" s="13" t="n"/>
      <x:c r="R48" s="3">
        <x:f>IF($Q48="","",ROUND($P48*$Q48,2))</x:f>
      </x:c>
      <x:c r="S48" s="3">
        <x:f>IF($Q48="","",$P48-$R48)</x:f>
      </x:c>
      <x:c r="T48" s="9" t="str">
        <x:f>IF($Q48="","미착수",IF($Q48&gt;=1,"완료","진행중"))</x:f>
        <x:v>미착수</x:v>
      </x:c>
      <x:c r="U48" s="14" t="n"/>
      <x:c r="V48" s="15">
        <x:f>IF($U48="","",$U48+$P48-1)</x:f>
      </x:c>
      <x:c r="W48" s="3" t="inlineStr">
        <x:is>
          <x:t xml:space="preserve">재시도 로직</x:t>
        </x:is>
      </x:c>
      <x:c r="X48" s="3" t="inlineStr">
        <x:is>
          <x:t xml:space="preserve">p5</x:t>
        </x:is>
      </x:c>
    </x:row>
    <x:row r="49" ht="42" customHeight="1">
      <x:c r="A49" s="9" t="inlineStr">
        <x:is>
          <x:t xml:space="preserve">5.9</x:t>
        </x:is>
      </x:c>
      <x:c r="B49" s="3" t="inlineStr">
        <x:is>
          <x:t xml:space="preserve">개발</x:t>
        </x:is>
      </x:c>
      <x:c r="C49" s="3" t="inlineStr">
        <x:is>
          <x:t xml:space="preserve">발송</x:t>
        </x:is>
      </x:c>
      <x:c r="D49" s="3" t="inlineStr">
        <x:is>
          <x:t xml:space="preserve">Dispatch</x:t>
        </x:is>
      </x:c>
      <x:c r="E49" s="3" t="inlineStr">
        <x:is>
          <x:t xml:space="preserve">수신 대상 매핑(법인/부서→수신자 그룹)</x:t>
        </x:is>
      </x:c>
      <x:c r="F49" s="10" t="inlineStr">
        <x:is>
          <x:t xml:space="preserve">법인/부서 선택을 메일 수신자(그룹/리스트)로 변환</x:t>
        </x:is>
      </x:c>
      <x:c r="G49" s="10" t="inlineStr">
        <x:is>
          <x:t xml:space="preserve">수신법인/부서(p4)</x:t>
        </x:is>
      </x:c>
      <x:c r="H49" s="3" t="inlineStr">
        <x:is>
          <x:t xml:space="preserve">4.3</x:t>
        </x:is>
      </x:c>
      <x:c r="I49" s="3" t="inlineStr">
        <x:is>
          <x:t xml:space="preserve">BE</x:t>
        </x:is>
      </x:c>
      <x:c r="J49" s="9" t="inlineStr">
        <x:is>
          <x:t xml:space="preserve">상</x:t>
        </x:is>
      </x:c>
      <x:c r="K49" s="3">
        <x:f>IF($J49="","",VLOOKUP($J49,Assumptions!$A$11:$C$14,2,FALSE))</x:f>
        <x:v>5</x:v>
      </x:c>
      <x:c r="L49" s="11">
        <x:f>IF($J49="","",VLOOKUP($J49,Assumptions!$A$11:$C$14,3,FALSE)+Assumptions!$G$11)</x:f>
        <x:v>0.2</x:v>
      </x:c>
      <x:c r="M49" s="3">
        <x:f>IF($K49="","",ROUNDUP($K49*$L49,0))</x:f>
        <x:v>1</x:v>
      </x:c>
      <x:c r="N49" s="3">
        <x:f>IF($K49="","",$K49+$M49)</x:f>
        <x:v>6</x:v>
      </x:c>
      <x:c r="O49" s="12" t="n"/>
      <x:c r="P49" s="3">
        <x:f>IF($O49="",$N49,$O49)</x:f>
        <x:v>6</x:v>
      </x:c>
      <x:c r="Q49" s="13" t="n"/>
      <x:c r="R49" s="3">
        <x:f>IF($Q49="","",ROUND($P49*$Q49,2))</x:f>
      </x:c>
      <x:c r="S49" s="3">
        <x:f>IF($Q49="","",$P49-$R49)</x:f>
      </x:c>
      <x:c r="T49" s="9" t="str">
        <x:f>IF($Q49="","미착수",IF($Q49&gt;=1,"완료","진행중"))</x:f>
        <x:v>미착수</x:v>
      </x:c>
      <x:c r="U49" s="14" t="n"/>
      <x:c r="V49" s="15">
        <x:f>IF($U49="","",$U49+$P49-1)</x:f>
      </x:c>
      <x:c r="W49" s="3" t="inlineStr">
        <x:is>
          <x:t xml:space="preserve">수신자 매핑 모듈</x:t>
        </x:is>
      </x:c>
      <x:c r="X49" s="3" t="inlineStr">
        <x:is>
          <x:t xml:space="preserve">p4</x:t>
        </x:is>
      </x:c>
    </x:row>
    <x:row r="50" ht="42" customHeight="1">
      <x:c r="A50" s="9" t="inlineStr">
        <x:is>
          <x:t xml:space="preserve">5.10</x:t>
        </x:is>
      </x:c>
      <x:c r="B50" s="3" t="inlineStr">
        <x:is>
          <x:t xml:space="preserve">개발</x:t>
        </x:is>
      </x:c>
      <x:c r="C50" s="3" t="inlineStr">
        <x:is>
          <x:t xml:space="preserve">발송</x:t>
        </x:is>
      </x:c>
      <x:c r="D50" s="3" t="inlineStr">
        <x:is>
          <x:t xml:space="preserve">Status</x:t>
        </x:is>
      </x:c>
      <x:c r="E50" s="3" t="inlineStr">
        <x:is>
          <x:t xml:space="preserve">발송 상태 업데이트/트랜잭션 처리</x:t>
        </x:is>
      </x:c>
      <x:c r="F50" s="10" t="inlineStr">
        <x:is>
          <x:t xml:space="preserve">발송전/후 상태 변경, 중복발송 방지 키</x:t>
        </x:is>
      </x:c>
      <x:c r="G50" s="10" t="inlineStr">
        <x:is>
          <x:t xml:space="preserve">History 기반(p5)</x:t>
        </x:is>
      </x:c>
      <x:c r="H50" s="3" t="inlineStr">
        <x:is>
          <x:t xml:space="preserve">5.6</x:t>
        </x:is>
      </x:c>
      <x:c r="I50" s="3" t="inlineStr">
        <x:is>
          <x:t xml:space="preserve">BE</x:t>
        </x:is>
      </x:c>
      <x:c r="J50" s="9" t="inlineStr">
        <x:is>
          <x:t xml:space="preserve">상</x:t>
        </x:is>
      </x:c>
      <x:c r="K50" s="3">
        <x:f>IF($J50="","",VLOOKUP($J50,Assumptions!$A$11:$C$14,2,FALSE))</x:f>
        <x:v>5</x:v>
      </x:c>
      <x:c r="L50" s="11">
        <x:f>IF($J50="","",VLOOKUP($J50,Assumptions!$A$11:$C$14,3,FALSE)+Assumptions!$G$11)</x:f>
        <x:v>0.2</x:v>
      </x:c>
      <x:c r="M50" s="3">
        <x:f>IF($K50="","",ROUNDUP($K50*$L50,0))</x:f>
        <x:v>1</x:v>
      </x:c>
      <x:c r="N50" s="3">
        <x:f>IF($K50="","",$K50+$M50)</x:f>
        <x:v>6</x:v>
      </x:c>
      <x:c r="O50" s="12" t="n"/>
      <x:c r="P50" s="3">
        <x:f>IF($O50="",$N50,$O50)</x:f>
        <x:v>6</x:v>
      </x:c>
      <x:c r="Q50" s="13" t="n"/>
      <x:c r="R50" s="3">
        <x:f>IF($Q50="","",ROUND($P50*$Q50,2))</x:f>
      </x:c>
      <x:c r="S50" s="3">
        <x:f>IF($Q50="","",$P50-$R50)</x:f>
      </x:c>
      <x:c r="T50" s="9" t="str">
        <x:f>IF($Q50="","미착수",IF($Q50&gt;=1,"완료","진행중"))</x:f>
        <x:v>미착수</x:v>
      </x:c>
      <x:c r="U50" s="14" t="n"/>
      <x:c r="V50" s="15">
        <x:f>IF($U50="","",$U50+$P50-1)</x:f>
      </x:c>
      <x:c r="W50" s="3" t="inlineStr">
        <x:is>
          <x:t xml:space="preserve">상태 업데이트</x:t>
        </x:is>
      </x:c>
      <x:c r="X50" s="3" t="inlineStr">
        <x:is>
          <x:t xml:space="preserve">p5</x:t>
        </x:is>
      </x:c>
    </x:row>
    <x:row r="51" ht="42" customHeight="1">
      <x:c r="A51" s="9" t="inlineStr">
        <x:is>
          <x:t xml:space="preserve">5.11</x:t>
        </x:is>
      </x:c>
      <x:c r="B51" s="3" t="inlineStr">
        <x:is>
          <x:t xml:space="preserve">개발</x:t>
        </x:is>
      </x:c>
      <x:c r="C51" s="3" t="inlineStr">
        <x:is>
          <x:t xml:space="preserve">발송</x:t>
        </x:is>
      </x:c>
      <x:c r="D51" s="3" t="inlineStr">
        <x:is>
          <x:t xml:space="preserve">Notifications</x:t>
        </x:is>
      </x:c>
      <x:c r="E51" s="3" t="inlineStr">
        <x:is>
          <x:t xml:space="preserve">승인자 알림/리마인더(선택)</x:t>
        </x:is>
      </x:c>
      <x:c r="F51" s="10" t="inlineStr">
        <x:is>
          <x:t xml:space="preserve">승인대기 장기화 방지 리마인더(옵션)</x:t>
        </x:is>
      </x:c>
      <x:c r="G51" s="10" t="inlineStr">
        <x:is>
          <x:t xml:space="preserve">운영 편의</x:t>
        </x:is>
      </x:c>
      <x:c r="H51" s="3" t="inlineStr">
        <x:is>
          <x:t xml:space="preserve">5.1</x:t>
        </x:is>
      </x:c>
      <x:c r="I51" s="3" t="inlineStr">
        <x:is>
          <x:t xml:space="preserve">BE</x:t>
        </x:is>
      </x:c>
      <x:c r="J51" s="9" t="inlineStr">
        <x:is>
          <x:t xml:space="preserve">중</x:t>
        </x:is>
      </x:c>
      <x:c r="K51" s="3">
        <x:f>IF($J51="","",VLOOKUP($J51,Assumptions!$A$11:$C$14,2,FALSE))</x:f>
      </x:c>
      <x:c r="L51" s="11">
        <x:f>IF($J51="","",VLOOKUP($J51,Assumptions!$A$11:$C$14,3,FALSE)+Assumptions!$G$11)</x:f>
      </x:c>
      <x:c r="M51" s="3">
        <x:f>IF($K51="","",ROUNDUP($K51*$L51,0))</x:f>
      </x:c>
      <x:c r="N51" s="3">
        <x:f>IF($K51="","",$K51+$M51)</x:f>
      </x:c>
      <x:c r="O51" s="12" t="n"/>
      <x:c r="P51" s="3">
        <x:f>IF($O51="",$N51,$O51)</x:f>
      </x:c>
      <x:c r="Q51" s="13" t="n"/>
      <x:c r="R51" s="3">
        <x:f>IF($Q51="","",ROUND($P51*$Q51,2))</x:f>
      </x:c>
      <x:c r="S51" s="3">
        <x:f>IF($Q51="","",$P51-$R51)</x:f>
      </x:c>
      <x:c r="T51" s="9">
        <x:f>IF($Q51="","미착수",IF($Q51&gt;=1,"완료","진행중"))</x:f>
      </x:c>
      <x:c r="U51" s="14" t="n"/>
      <x:c r="V51" s="15">
        <x:f>IF($U51="","",$U51+$P51-1)</x:f>
      </x:c>
      <x:c r="W51" s="3" t="inlineStr">
        <x:is>
          <x:t xml:space="preserve">리마인더 배치(옵션)</x:t>
        </x:is>
      </x:c>
      <x:c r="X51" s="3" t="inlineStr">
        <x:is>
          <x:t xml:space="preserve">p5</x:t>
        </x:is>
      </x:c>
    </x:row>
    <x:row r="52" ht="42" customHeight="1">
      <x:c r="A52" s="9" t="inlineStr">
        <x:is>
          <x:t xml:space="preserve">6.1</x:t>
        </x:is>
      </x:c>
      <x:c r="B52" s="3" t="inlineStr">
        <x:is>
          <x:t xml:space="preserve">연동</x:t>
        </x:is>
      </x:c>
      <x:c r="C52" s="3" t="inlineStr">
        <x:is>
          <x:t xml:space="preserve">MS Graph</x:t>
        </x:is>
      </x:c>
      <x:c r="D52" s="3" t="inlineStr">
        <x:is>
          <x:t xml:space="preserve">Prereq</x:t>
        </x:is>
      </x:c>
      <x:c r="E52" s="3" t="inlineStr">
        <x:is>
          <x:t xml:space="preserve">Azure AD 앱 등록 및 환경별 설정</x:t>
        </x:is>
      </x:c>
      <x:c r="F52" s="10" t="inlineStr">
        <x:is>
          <x:t xml:space="preserve">앱 등록, Client/Secret 또는 인증서, Redirect URI 설정</x:t>
        </x:is>
      </x:c>
      <x:c r="G52" s="10" t="inlineStr">
        <x:is>
          <x:t xml:space="preserve">Graph 연동 필수(p3)</x:t>
        </x:is>
      </x:c>
      <x:c r="H52" s="3" t="inlineStr">
        <x:is>
          <x:t xml:space="preserve">3.9</x:t>
        </x:is>
      </x:c>
      <x:c r="I52" s="3" t="inlineStr">
        <x:is>
          <x:t xml:space="preserve">Infra/BE</x:t>
        </x:is>
      </x:c>
      <x:c r="J52" s="9" t="inlineStr">
        <x:is>
          <x:t xml:space="preserve">초상</x:t>
        </x:is>
      </x:c>
      <x:c r="K52" s="3">
        <x:f>IF($J52="","",VLOOKUP($J52,Assumptions!$A$11:$C$14,2,FALSE))</x:f>
      </x:c>
      <x:c r="L52" s="11">
        <x:f>IF($J52="","",VLOOKUP($J52,Assumptions!$A$11:$C$14,3,FALSE)+Assumptions!$G$11)</x:f>
      </x:c>
      <x:c r="M52" s="3">
        <x:f>IF($K52="","",ROUNDUP($K52*$L52,0))</x:f>
      </x:c>
      <x:c r="N52" s="3">
        <x:f>IF($K52="","",$K52+$M52)</x:f>
      </x:c>
      <x:c r="O52" s="12" t="n"/>
      <x:c r="P52" s="3">
        <x:f>IF($O52="",$N52,$O52)</x:f>
      </x:c>
      <x:c r="Q52" s="13" t="n"/>
      <x:c r="R52" s="3">
        <x:f>IF($Q52="","",ROUND($P52*$Q52,2))</x:f>
      </x:c>
      <x:c r="S52" s="3">
        <x:f>IF($Q52="","",$P52-$R52)</x:f>
      </x:c>
      <x:c r="T52" s="9">
        <x:f>IF($Q52="","미착수",IF($Q52&gt;=1,"완료","진행중"))</x:f>
      </x:c>
      <x:c r="U52" s="14" t="n"/>
      <x:c r="V52" s="15">
        <x:f>IF($U52="","",$U52+$P52-1)</x:f>
      </x:c>
      <x:c r="W52" s="3" t="inlineStr">
        <x:is>
          <x:t xml:space="preserve">앱 등록 정보</x:t>
        </x:is>
      </x:c>
      <x:c r="X52" s="3" t="inlineStr">
        <x:is>
          <x:t xml:space="preserve">p3</x:t>
        </x:is>
      </x:c>
    </x:row>
    <x:row r="53" ht="42" customHeight="1">
      <x:c r="A53" s="9" t="inlineStr">
        <x:is>
          <x:t xml:space="preserve">6.2</x:t>
        </x:is>
      </x:c>
      <x:c r="B53" s="3" t="inlineStr">
        <x:is>
          <x:t xml:space="preserve">연동</x:t>
        </x:is>
      </x:c>
      <x:c r="C53" s="3" t="inlineStr">
        <x:is>
          <x:t xml:space="preserve">MS Graph</x:t>
        </x:is>
      </x:c>
      <x:c r="D53" s="3" t="inlineStr">
        <x:is>
          <x:t xml:space="preserve">Permissions</x:t>
        </x:is>
      </x:c>
      <x:c r="E53" s="3" t="inlineStr">
        <x:is>
          <x:t xml:space="preserve">권한 범위 확정 및 관리자 동의</x:t>
        </x:is>
      </x:c>
      <x:c r="F53" s="10" t="inlineStr">
        <x:is>
          <x:t xml:space="preserve">Mail.Send, Calendars.ReadWrite 등 권한, Admin consent</x:t>
        </x:is>
      </x:c>
      <x:c r="G53" s="10" t="inlineStr">
        <x:is>
          <x:t xml:space="preserve">권한 이슈 리스크</x:t>
        </x:is>
      </x:c>
      <x:c r="H53" s="3" t="inlineStr">
        <x:is>
          <x:t xml:space="preserve">6.1</x:t>
        </x:is>
      </x:c>
      <x:c r="I53" s="3" t="inlineStr">
        <x:is>
          <x:t xml:space="preserve">Infra/BE</x:t>
        </x:is>
      </x:c>
      <x:c r="J53" s="9" t="inlineStr">
        <x:is>
          <x:t xml:space="preserve">초상</x:t>
        </x:is>
      </x:c>
      <x:c r="K53" s="3">
        <x:f>IF($J53="","",VLOOKUP($J53,Assumptions!$A$11:$C$14,2,FALSE))</x:f>
      </x:c>
      <x:c r="L53" s="11">
        <x:f>IF($J53="","",VLOOKUP($J53,Assumptions!$A$11:$C$14,3,FALSE)+Assumptions!$G$11)</x:f>
      </x:c>
      <x:c r="M53" s="3">
        <x:f>IF($K53="","",ROUNDUP($K53*$L53,0))</x:f>
      </x:c>
      <x:c r="N53" s="3">
        <x:f>IF($K53="","",$K53+$M53)</x:f>
      </x:c>
      <x:c r="O53" s="12" t="n"/>
      <x:c r="P53" s="3">
        <x:f>IF($O53="",$N53,$O53)</x:f>
      </x:c>
      <x:c r="Q53" s="13" t="n"/>
      <x:c r="R53" s="3">
        <x:f>IF($Q53="","",ROUND($P53*$Q53,2))</x:f>
      </x:c>
      <x:c r="S53" s="3">
        <x:f>IF($Q53="","",$P53-$R53)</x:f>
      </x:c>
      <x:c r="T53" s="9">
        <x:f>IF($Q53="","미착수",IF($Q53&gt;=1,"완료","진행중"))</x:f>
      </x:c>
      <x:c r="U53" s="14" t="n"/>
      <x:c r="V53" s="15">
        <x:f>IF($U53="","",$U53+$P53-1)</x:f>
      </x:c>
      <x:c r="W53" s="3" t="inlineStr">
        <x:is>
          <x:t xml:space="preserve">권한 승인 기록</x:t>
        </x:is>
      </x:c>
      <x:c r="X53" s="3" t="inlineStr">
        <x:is>
          <x:t xml:space="preserve">p3</x:t>
        </x:is>
      </x:c>
    </x:row>
    <x:row r="54" ht="42" customHeight="1">
      <x:c r="A54" s="9" t="inlineStr">
        <x:is>
          <x:t xml:space="preserve">6.3</x:t>
        </x:is>
      </x:c>
      <x:c r="B54" s="3" t="inlineStr">
        <x:is>
          <x:t xml:space="preserve">연동</x:t>
        </x:is>
      </x:c>
      <x:c r="C54" s="3" t="inlineStr">
        <x:is>
          <x:t xml:space="preserve">MS Graph</x:t>
        </x:is>
      </x:c>
      <x:c r="D54" s="3" t="inlineStr">
        <x:is>
          <x:t xml:space="preserve">Auth</x:t>
        </x:is>
      </x:c>
      <x:c r="E54" s="3" t="inlineStr">
        <x:is>
          <x:t xml:space="preserve">토큰 발급/갱신 모듈 구현</x:t>
        </x:is>
      </x:c>
      <x:c r="F54" s="10" t="inlineStr">
        <x:is>
          <x:t xml:space="preserve">OAuth2 토큰 캐시, 만료 갱신, 오류 처리</x:t>
        </x:is>
      </x:c>
      <x:c r="G54" s="10" t="inlineStr">
        <x:is>
          <x:t xml:space="preserve">인증 안정성</x:t>
        </x:is>
      </x:c>
      <x:c r="H54" s="3" t="inlineStr">
        <x:is>
          <x:t xml:space="preserve">6.2</x:t>
        </x:is>
      </x:c>
      <x:c r="I54" s="3" t="inlineStr">
        <x:is>
          <x:t xml:space="preserve">BE</x:t>
        </x:is>
      </x:c>
      <x:c r="J54" s="9" t="inlineStr">
        <x:is>
          <x:t xml:space="preserve">초상</x:t>
        </x:is>
      </x:c>
      <x:c r="K54" s="3">
        <x:f>IF($J54="","",VLOOKUP($J54,Assumptions!$A$11:$C$14,2,FALSE))</x:f>
      </x:c>
      <x:c r="L54" s="11">
        <x:f>IF($J54="","",VLOOKUP($J54,Assumptions!$A$11:$C$14,3,FALSE)+Assumptions!$G$11)</x:f>
      </x:c>
      <x:c r="M54" s="3">
        <x:f>IF($K54="","",ROUNDUP($K54*$L54,0))</x:f>
      </x:c>
      <x:c r="N54" s="3">
        <x:f>IF($K54="","",$K54+$M54)</x:f>
      </x:c>
      <x:c r="O54" s="12" t="n"/>
      <x:c r="P54" s="3">
        <x:f>IF($O54="",$N54,$O54)</x:f>
      </x:c>
      <x:c r="Q54" s="13" t="n"/>
      <x:c r="R54" s="3">
        <x:f>IF($Q54="","",ROUND($P54*$Q54,2))</x:f>
      </x:c>
      <x:c r="S54" s="3">
        <x:f>IF($Q54="","",$P54-$R54)</x:f>
      </x:c>
      <x:c r="T54" s="9">
        <x:f>IF($Q54="","미착수",IF($Q54&gt;=1,"완료","진행중"))</x:f>
      </x:c>
      <x:c r="U54" s="14" t="n"/>
      <x:c r="V54" s="15">
        <x:f>IF($U54="","",$U54+$P54-1)</x:f>
      </x:c>
      <x:c r="W54" s="3" t="inlineStr">
        <x:is>
          <x:t xml:space="preserve">토큰 모듈</x:t>
        </x:is>
      </x:c>
      <x:c r="X54" s="3" t="inlineStr">
        <x:is>
          <x:t xml:space="preserve">p3</x:t>
        </x:is>
      </x:c>
    </x:row>
    <x:row r="55" ht="42" customHeight="1">
      <x:c r="A55" s="9" t="inlineStr">
        <x:is>
          <x:t xml:space="preserve">6.4</x:t>
        </x:is>
      </x:c>
      <x:c r="B55" s="3" t="inlineStr">
        <x:is>
          <x:t xml:space="preserve">연동</x:t>
        </x:is>
      </x:c>
      <x:c r="C55" s="3" t="inlineStr">
        <x:is>
          <x:t xml:space="preserve">MS Graph</x:t>
        </x:is>
      </x:c>
      <x:c r="D55" s="3" t="inlineStr">
        <x:is>
          <x:t xml:space="preserve">Mailbox</x:t>
        </x:is>
      </x:c>
      <x:c r="E55" s="3" t="inlineStr">
        <x:is>
          <x:t xml:space="preserve">공지 전용 Mailbox/캘린더 자원 생성(법인별)</x:t>
        </x:is>
      </x:c>
      <x:c r="F55" s="10" t="inlineStr">
        <x:is>
          <x:t xml:space="preserve">계열사 별 공지 자원 생성, 주소/캘린더 구성</x:t>
        </x:is>
      </x:c>
      <x:c r="G55" s="10" t="inlineStr">
        <x:is>
          <x:t xml:space="preserve">Step 2(p2)</x:t>
        </x:is>
      </x:c>
      <x:c r="H55" s="3" t="inlineStr">
        <x:is>
          <x:t xml:space="preserve">6.2</x:t>
        </x:is>
      </x:c>
      <x:c r="I55" s="3" t="inlineStr">
        <x:is>
          <x:t xml:space="preserve">Infra</x:t>
        </x:is>
      </x:c>
      <x:c r="J55" s="9" t="inlineStr">
        <x:is>
          <x:t xml:space="preserve">상</x:t>
        </x:is>
      </x:c>
      <x:c r="K55" s="3">
        <x:f>IF($J55="","",VLOOKUP($J55,Assumptions!$A$11:$C$14,2,FALSE))</x:f>
      </x:c>
      <x:c r="L55" s="11">
        <x:f>IF($J55="","",VLOOKUP($J55,Assumptions!$A$11:$C$14,3,FALSE)+Assumptions!$G$11)</x:f>
      </x:c>
      <x:c r="M55" s="3">
        <x:f>IF($K55="","",ROUNDUP($K55*$L55,0))</x:f>
      </x:c>
      <x:c r="N55" s="3">
        <x:f>IF($K55="","",$K55+$M55)</x:f>
      </x:c>
      <x:c r="O55" s="12" t="n"/>
      <x:c r="P55" s="3">
        <x:f>IF($O55="",$N55,$O55)</x:f>
      </x:c>
      <x:c r="Q55" s="13" t="n"/>
      <x:c r="R55" s="3">
        <x:f>IF($Q55="","",ROUND($P55*$Q55,2))</x:f>
      </x:c>
      <x:c r="S55" s="3">
        <x:f>IF($Q55="","",$P55-$R55)</x:f>
      </x:c>
      <x:c r="T55" s="9">
        <x:f>IF($Q55="","미착수",IF($Q55&gt;=1,"완료","진행중"))</x:f>
      </x:c>
      <x:c r="U55" s="14" t="n"/>
      <x:c r="V55" s="15">
        <x:f>IF($U55="","",$U55+$P55-1)</x:f>
      </x:c>
      <x:c r="W55" s="3" t="inlineStr">
        <x:is>
          <x:t xml:space="preserve">공지 자원 목록</x:t>
        </x:is>
      </x:c>
      <x:c r="X55" s="3" t="inlineStr">
        <x:is>
          <x:t xml:space="preserve">p2-3</x:t>
        </x:is>
      </x:c>
    </x:row>
    <x:row r="56" ht="42" customHeight="1">
      <x:c r="A56" s="9" t="inlineStr">
        <x:is>
          <x:t xml:space="preserve">6.5</x:t>
        </x:is>
      </x:c>
      <x:c r="B56" s="3" t="inlineStr">
        <x:is>
          <x:t xml:space="preserve">연동</x:t>
        </x:is>
      </x:c>
      <x:c r="C56" s="3" t="inlineStr">
        <x:is>
          <x:t xml:space="preserve">MS Graph</x:t>
        </x:is>
      </x:c>
      <x:c r="D56" s="3" t="inlineStr">
        <x:is>
          <x:t xml:space="preserve">Mail</x:t>
        </x:is>
      </x:c>
      <x:c r="E56" s="3" t="inlineStr">
        <x:is>
          <x:t xml:space="preserve">메일 발송 API 연동 구현</x:t>
        </x:is>
      </x:c>
      <x:c r="F56" s="10" t="inlineStr">
        <x:is>
          <x:t xml:space="preserve">템플릿→Graph sendMail 호출, 수신자/참조 처리</x:t>
        </x:is>
      </x:c>
      <x:c r="G56" s="10" t="inlineStr">
        <x:is>
          <x:t xml:space="preserve">메일 발송(p3)</x:t>
        </x:is>
      </x:c>
      <x:c r="H56" s="3" t="inlineStr">
        <x:is>
          <x:t xml:space="preserve">6.3</x:t>
        </x:is>
      </x:c>
      <x:c r="I56" s="3" t="inlineStr">
        <x:is>
          <x:t xml:space="preserve">BE</x:t>
        </x:is>
      </x:c>
      <x:c r="J56" s="9" t="inlineStr">
        <x:is>
          <x:t xml:space="preserve">상</x:t>
        </x:is>
      </x:c>
      <x:c r="K56" s="3">
        <x:f>IF($J56="","",VLOOKUP($J56,Assumptions!$A$11:$C$14,2,FALSE))</x:f>
      </x:c>
      <x:c r="L56" s="11">
        <x:f>IF($J56="","",VLOOKUP($J56,Assumptions!$A$11:$C$14,3,FALSE)+Assumptions!$G$11)</x:f>
      </x:c>
      <x:c r="M56" s="3">
        <x:f>IF($K56="","",ROUNDUP($K56*$L56,0))</x:f>
      </x:c>
      <x:c r="N56" s="3">
        <x:f>IF($K56="","",$K56+$M56)</x:f>
      </x:c>
      <x:c r="O56" s="12" t="n"/>
      <x:c r="P56" s="3">
        <x:f>IF($O56="",$N56,$O56)</x:f>
      </x:c>
      <x:c r="Q56" s="13" t="n"/>
      <x:c r="R56" s="3">
        <x:f>IF($Q56="","",ROUND($P56*$Q56,2))</x:f>
      </x:c>
      <x:c r="S56" s="3">
        <x:f>IF($Q56="","",$P56-$R56)</x:f>
      </x:c>
      <x:c r="T56" s="9">
        <x:f>IF($Q56="","미착수",IF($Q56&gt;=1,"완료","진행중"))</x:f>
      </x:c>
      <x:c r="U56" s="14" t="n"/>
      <x:c r="V56" s="15">
        <x:f>IF($U56="","",$U56+$P56-1)</x:f>
      </x:c>
      <x:c r="W56" s="3" t="inlineStr">
        <x:is>
          <x:t xml:space="preserve">메일 발송 연동</x:t>
        </x:is>
      </x:c>
      <x:c r="X56" s="3" t="inlineStr">
        <x:is>
          <x:t xml:space="preserve">p3</x:t>
        </x:is>
      </x:c>
    </x:row>
    <x:row r="57" ht="42" customHeight="1">
      <x:c r="A57" s="9" t="inlineStr">
        <x:is>
          <x:t xml:space="preserve">6.6</x:t>
        </x:is>
      </x:c>
      <x:c r="B57" s="3" t="inlineStr">
        <x:is>
          <x:t xml:space="preserve">연동</x:t>
        </x:is>
      </x:c>
      <x:c r="C57" s="3" t="inlineStr">
        <x:is>
          <x:t xml:space="preserve">MS Graph</x:t>
        </x:is>
      </x:c>
      <x:c r="D57" s="3" t="inlineStr">
        <x:is>
          <x:t xml:space="preserve">Calendar</x:t>
        </x:is>
      </x:c>
      <x:c r="E57" s="3" t="inlineStr">
        <x:is>
          <x:t xml:space="preserve">캘린더 이벤트 생성/업데이트 구현</x:t>
        </x:is>
      </x:c>
      <x:c r="F57" s="10" t="inlineStr">
        <x:is>
          <x:t xml:space="preserve">공지 옵션 선택 시 이벤트 생성, 속성 매핑(제목/시간/설명)</x:t>
        </x:is>
      </x:c>
      <x:c r="G57" s="10" t="inlineStr">
        <x:is>
          <x:t xml:space="preserve">일정 등록(p3-4)</x:t>
        </x:is>
      </x:c>
      <x:c r="H57" s="3" t="inlineStr">
        <x:is>
          <x:t xml:space="preserve">6.3</x:t>
        </x:is>
      </x:c>
      <x:c r="I57" s="3" t="inlineStr">
        <x:is>
          <x:t xml:space="preserve">BE</x:t>
        </x:is>
      </x:c>
      <x:c r="J57" s="9" t="inlineStr">
        <x:is>
          <x:t xml:space="preserve">상</x:t>
        </x:is>
      </x:c>
      <x:c r="K57" s="3">
        <x:f>IF($J57="","",VLOOKUP($J57,Assumptions!$A$11:$C$14,2,FALSE))</x:f>
      </x:c>
      <x:c r="L57" s="11">
        <x:f>IF($J57="","",VLOOKUP($J57,Assumptions!$A$11:$C$14,3,FALSE)+Assumptions!$G$11)</x:f>
      </x:c>
      <x:c r="M57" s="3">
        <x:f>IF($K57="","",ROUNDUP($K57*$L57,0))</x:f>
      </x:c>
      <x:c r="N57" s="3">
        <x:f>IF($K57="","",$K57+$M57)</x:f>
      </x:c>
      <x:c r="O57" s="12" t="n"/>
      <x:c r="P57" s="3">
        <x:f>IF($O57="",$N57,$O57)</x:f>
      </x:c>
      <x:c r="Q57" s="13" t="n"/>
      <x:c r="R57" s="3">
        <x:f>IF($Q57="","",ROUND($P57*$Q57,2))</x:f>
      </x:c>
      <x:c r="S57" s="3">
        <x:f>IF($Q57="","",$P57-$R57)</x:f>
      </x:c>
      <x:c r="T57" s="9">
        <x:f>IF($Q57="","미착수",IF($Q57&gt;=1,"완료","진행중"))</x:f>
      </x:c>
      <x:c r="U57" s="14" t="n"/>
      <x:c r="V57" s="15">
        <x:f>IF($U57="","",$U57+$P57-1)</x:f>
      </x:c>
      <x:c r="W57" s="3" t="inlineStr">
        <x:is>
          <x:t xml:space="preserve">캘린더 연동</x:t>
        </x:is>
      </x:c>
      <x:c r="X57" s="3" t="inlineStr">
        <x:is>
          <x:t xml:space="preserve">p3-4</x:t>
        </x:is>
      </x:c>
    </x:row>
    <x:row r="58" ht="42" customHeight="1">
      <x:c r="A58" s="9" t="inlineStr">
        <x:is>
          <x:t xml:space="preserve">6.7</x:t>
        </x:is>
      </x:c>
      <x:c r="B58" s="3" t="inlineStr">
        <x:is>
          <x:t xml:space="preserve">연동</x:t>
        </x:is>
      </x:c>
      <x:c r="C58" s="3" t="inlineStr">
        <x:is>
          <x:t xml:space="preserve">MS Graph</x:t>
        </x:is>
      </x:c>
      <x:c r="D58" s="3" t="inlineStr">
        <x:is>
          <x:t xml:space="preserve">Calendar</x:t>
        </x:is>
      </x:c>
      <x:c r="E58" s="3" t="inlineStr">
        <x:is>
          <x:t xml:space="preserve">개인 일정 영향 없음 검증</x:t>
        </x:is>
      </x:c>
      <x:c r="F58" s="10" t="inlineStr">
        <x:is>
          <x:t xml:space="preserve">자원 캘린더 공유 방식 확인, 권한/공유 설정 검증</x:t>
        </x:is>
      </x:c>
      <x:c r="G58" s="10" t="inlineStr">
        <x:is>
          <x:t xml:space="preserve">제안서 문구(p3)</x:t>
        </x:is>
      </x:c>
      <x:c r="H58" s="3" t="inlineStr">
        <x:is>
          <x:t xml:space="preserve">6.6</x:t>
        </x:is>
      </x:c>
      <x:c r="I58" s="3" t="inlineStr">
        <x:is>
          <x:t xml:space="preserve">Infra/BE</x:t>
        </x:is>
      </x:c>
      <x:c r="J58" s="9" t="inlineStr">
        <x:is>
          <x:t xml:space="preserve">중</x:t>
        </x:is>
      </x:c>
      <x:c r="K58" s="3">
        <x:f>IF($J58="","",VLOOKUP($J58,Assumptions!$A$11:$C$14,2,FALSE))</x:f>
      </x:c>
      <x:c r="L58" s="11">
        <x:f>IF($J58="","",VLOOKUP($J58,Assumptions!$A$11:$C$14,3,FALSE)+Assumptions!$G$11)</x:f>
      </x:c>
      <x:c r="M58" s="3">
        <x:f>IF($K58="","",ROUNDUP($K58*$L58,0))</x:f>
      </x:c>
      <x:c r="N58" s="3">
        <x:f>IF($K58="","",$K58+$M58)</x:f>
      </x:c>
      <x:c r="O58" s="12" t="n"/>
      <x:c r="P58" s="3">
        <x:f>IF($O58="",$N58,$O58)</x:f>
      </x:c>
      <x:c r="Q58" s="13" t="n"/>
      <x:c r="R58" s="3">
        <x:f>IF($Q58="","",ROUND($P58*$Q58,2))</x:f>
      </x:c>
      <x:c r="S58" s="3">
        <x:f>IF($Q58="","",$P58-$R58)</x:f>
      </x:c>
      <x:c r="T58" s="9">
        <x:f>IF($Q58="","미착수",IF($Q58&gt;=1,"완료","진행중"))</x:f>
      </x:c>
      <x:c r="U58" s="14" t="n"/>
      <x:c r="V58" s="15">
        <x:f>IF($U58="","",$U58+$P58-1)</x:f>
      </x:c>
      <x:c r="W58" s="3" t="inlineStr">
        <x:is>
          <x:t xml:space="preserve">검증 결과</x:t>
        </x:is>
      </x:c>
      <x:c r="X58" s="3" t="inlineStr">
        <x:is>
          <x:t xml:space="preserve">p3</x:t>
        </x:is>
      </x:c>
    </x:row>
    <x:row r="59" ht="42" customHeight="1">
      <x:c r="A59" s="9" t="inlineStr">
        <x:is>
          <x:t xml:space="preserve">6.8</x:t>
        </x:is>
      </x:c>
      <x:c r="B59" s="3" t="inlineStr">
        <x:is>
          <x:t xml:space="preserve">연동</x:t>
        </x:is>
      </x:c>
      <x:c r="C59" s="3" t="inlineStr">
        <x:is>
          <x:t xml:space="preserve">MS Graph</x:t>
        </x:is>
      </x:c>
      <x:c r="D59" s="3" t="inlineStr">
        <x:is>
          <x:t xml:space="preserve">Resilience</x:t>
        </x:is>
      </x:c>
      <x:c r="E59" s="3" t="inlineStr">
        <x:is>
          <x:t xml:space="preserve">Graph API 실패 시나리오 처리</x:t>
        </x:is>
      </x:c>
      <x:c r="F59" s="10" t="inlineStr">
        <x:is>
          <x:t xml:space="preserve">429/5xx/권한 오류 시 재시도/대체 경로/알림</x:t>
        </x:is>
      </x:c>
      <x:c r="G59" s="10" t="inlineStr">
        <x:is>
          <x:t xml:space="preserve">운영 안정성</x:t>
        </x:is>
      </x:c>
      <x:c r="H59" s="3" t="inlineStr">
        <x:is>
          <x:t xml:space="preserve">6.5</x:t>
        </x:is>
      </x:c>
      <x:c r="I59" s="3" t="inlineStr">
        <x:is>
          <x:t xml:space="preserve">BE</x:t>
        </x:is>
      </x:c>
      <x:c r="J59" s="9" t="inlineStr">
        <x:is>
          <x:t xml:space="preserve">초상</x:t>
        </x:is>
      </x:c>
      <x:c r="K59" s="3">
        <x:f>IF($J59="","",VLOOKUP($J59,Assumptions!$A$11:$C$14,2,FALSE))</x:f>
      </x:c>
      <x:c r="L59" s="11">
        <x:f>IF($J59="","",VLOOKUP($J59,Assumptions!$A$11:$C$14,3,FALSE)+Assumptions!$G$11)</x:f>
      </x:c>
      <x:c r="M59" s="3">
        <x:f>IF($K59="","",ROUNDUP($K59*$L59,0))</x:f>
      </x:c>
      <x:c r="N59" s="3">
        <x:f>IF($K59="","",$K59+$M59)</x:f>
      </x:c>
      <x:c r="O59" s="12" t="n"/>
      <x:c r="P59" s="3">
        <x:f>IF($O59="",$N59,$O59)</x:f>
      </x:c>
      <x:c r="Q59" s="13" t="n"/>
      <x:c r="R59" s="3">
        <x:f>IF($Q59="","",ROUND($P59*$Q59,2))</x:f>
      </x:c>
      <x:c r="S59" s="3">
        <x:f>IF($Q59="","",$P59-$R59)</x:f>
      </x:c>
      <x:c r="T59" s="9">
        <x:f>IF($Q59="","미착수",IF($Q59&gt;=1,"완료","진행중"))</x:f>
      </x:c>
      <x:c r="U59" s="14" t="n"/>
      <x:c r="V59" s="15">
        <x:f>IF($U59="","",$U59+$P59-1)</x:f>
      </x:c>
      <x:c r="W59" s="3" t="inlineStr">
        <x:is>
          <x:t xml:space="preserve">예외 처리</x:t>
        </x:is>
      </x:c>
      <x:c r="X59" s="3" t="inlineStr">
        <x:is>
          <x:t xml:space="preserve">p5</x:t>
        </x:is>
      </x:c>
    </x:row>
    <x:row r="60" ht="42" customHeight="1">
      <x:c r="A60" s="9" t="inlineStr">
        <x:is>
          <x:t xml:space="preserve">6.9</x:t>
        </x:is>
      </x:c>
      <x:c r="B60" s="3" t="inlineStr">
        <x:is>
          <x:t xml:space="preserve">연동</x:t>
        </x:is>
      </x:c>
      <x:c r="C60" s="3" t="inlineStr">
        <x:is>
          <x:t xml:space="preserve">MS Graph</x:t>
        </x:is>
      </x:c>
      <x:c r="D60" s="3" t="inlineStr">
        <x:is>
          <x:t xml:space="preserve">Integration Test</x:t>
        </x:is>
      </x:c>
      <x:c r="E60" s="3" t="inlineStr">
        <x:is>
          <x:t xml:space="preserve">연동 통합 테스트(메일+캘린더)</x:t>
        </x:is>
      </x:c>
      <x:c r="F60" s="10" t="inlineStr">
        <x:is>
          <x:t xml:space="preserve">UAT 환경에서 실제 자원으로 발송/등록 E2E 테스트</x:t>
        </x:is>
      </x:c>
      <x:c r="G60" s="10" t="inlineStr">
        <x:is>
          <x:t xml:space="preserve">핵심 기능</x:t>
        </x:is>
      </x:c>
      <x:c r="H60" s="3" t="inlineStr">
        <x:is>
          <x:t xml:space="preserve">6.5</x:t>
        </x:is>
      </x:c>
      <x:c r="I60" s="3" t="inlineStr">
        <x:is>
          <x:t xml:space="preserve">QA/BE</x:t>
        </x:is>
      </x:c>
      <x:c r="J60" s="9" t="inlineStr">
        <x:is>
          <x:t xml:space="preserve">상</x:t>
        </x:is>
      </x:c>
      <x:c r="K60" s="3">
        <x:f>IF($J60="","",VLOOKUP($J60,Assumptions!$A$11:$C$14,2,FALSE))</x:f>
      </x:c>
      <x:c r="L60" s="11">
        <x:f>IF($J60="","",VLOOKUP($J60,Assumptions!$A$11:$C$14,3,FALSE)+Assumptions!$G$11)</x:f>
      </x:c>
      <x:c r="M60" s="3">
        <x:f>IF($K60="","",ROUNDUP($K60*$L60,0))</x:f>
      </x:c>
      <x:c r="N60" s="3">
        <x:f>IF($K60="","",$K60+$M60)</x:f>
      </x:c>
      <x:c r="O60" s="12" t="n"/>
      <x:c r="P60" s="3">
        <x:f>IF($O60="",$N60,$O60)</x:f>
      </x:c>
      <x:c r="Q60" s="13" t="n"/>
      <x:c r="R60" s="3">
        <x:f>IF($Q60="","",ROUND($P60*$Q60,2))</x:f>
      </x:c>
      <x:c r="S60" s="3">
        <x:f>IF($Q60="","",$P60-$R60)</x:f>
      </x:c>
      <x:c r="T60" s="9">
        <x:f>IF($Q60="","미착수",IF($Q60&gt;=1,"완료","진행중"))</x:f>
      </x:c>
      <x:c r="U60" s="14" t="n"/>
      <x:c r="V60" s="15">
        <x:f>IF($U60="","",$U60+$P60-1)</x:f>
      </x:c>
      <x:c r="W60" s="3" t="inlineStr">
        <x:is>
          <x:t xml:space="preserve">연동 테스트 리포트</x:t>
        </x:is>
      </x:c>
      <x:c r="X60" s="3" t="inlineStr">
        <x:is>
          <x:t xml:space="preserve">p3-4</x:t>
        </x:is>
      </x:c>
    </x:row>
    <x:row r="61" ht="42" customHeight="1">
      <x:c r="A61" s="9" t="inlineStr">
        <x:is>
          <x:t xml:space="preserve">7.1</x:t>
        </x:is>
      </x:c>
      <x:c r="B61" s="3" t="inlineStr">
        <x:is>
          <x:t xml:space="preserve">개발</x:t>
        </x:is>
      </x:c>
      <x:c r="C61" s="3" t="inlineStr">
        <x:is>
          <x:t xml:space="preserve">이력</x:t>
        </x:is>
      </x:c>
      <x:c r="D61" s="3" t="inlineStr">
        <x:is>
          <x:t xml:space="preserve">Logging</x:t>
        </x:is>
      </x:c>
      <x:c r="E61" s="3" t="inlineStr">
        <x:is>
          <x:t xml:space="preserve">발송 로그 테이블/적재 구현</x:t>
        </x:is>
      </x:c>
      <x:c r="F61" s="10" t="inlineStr">
        <x:is>
          <x:t xml:space="preserve">발송결과, 실패사유, 수신대상, 발송시간 기록</x:t>
        </x:is>
      </x:c>
      <x:c r="G61" s="10" t="inlineStr">
        <x:is>
          <x:t xml:space="preserve">공지 발송 로그(p5)</x:t>
        </x:is>
      </x:c>
      <x:c r="H61" s="3" t="inlineStr">
        <x:is>
          <x:t xml:space="preserve">3.2</x:t>
        </x:is>
      </x:c>
      <x:c r="I61" s="3" t="inlineStr">
        <x:is>
          <x:t xml:space="preserve">BE</x:t>
        </x:is>
      </x:c>
      <x:c r="J61" s="9" t="inlineStr">
        <x:is>
          <x:t xml:space="preserve">상</x:t>
        </x:is>
      </x:c>
      <x:c r="K61" s="3">
        <x:f>IF($J61="","",VLOOKUP($J61,Assumptions!$A$11:$C$14,2,FALSE))</x:f>
      </x:c>
      <x:c r="L61" s="11">
        <x:f>IF($J61="","",VLOOKUP($J61,Assumptions!$A$11:$C$14,3,FALSE)+Assumptions!$G$11)</x:f>
      </x:c>
      <x:c r="M61" s="3">
        <x:f>IF($K61="","",ROUNDUP($K61*$L61,0))</x:f>
      </x:c>
      <x:c r="N61" s="3">
        <x:f>IF($K61="","",$K61+$M61)</x:f>
      </x:c>
      <x:c r="O61" s="12" t="n"/>
      <x:c r="P61" s="3">
        <x:f>IF($O61="",$N61,$O61)</x:f>
      </x:c>
      <x:c r="Q61" s="13" t="n"/>
      <x:c r="R61" s="3">
        <x:f>IF($Q61="","",ROUND($P61*$Q61,2))</x:f>
      </x:c>
      <x:c r="S61" s="3">
        <x:f>IF($Q61="","",$P61-$R61)</x:f>
      </x:c>
      <x:c r="T61" s="9">
        <x:f>IF($Q61="","미착수",IF($Q61&gt;=1,"완료","진행중"))</x:f>
      </x:c>
      <x:c r="U61" s="14" t="n"/>
      <x:c r="V61" s="15">
        <x:f>IF($U61="","",$U61+$P61-1)</x:f>
      </x:c>
      <x:c r="W61" s="3" t="inlineStr">
        <x:is>
          <x:t xml:space="preserve">SEND_LOG</x:t>
        </x:is>
      </x:c>
      <x:c r="X61" s="3" t="inlineStr">
        <x:is>
          <x:t xml:space="preserve">p5</x:t>
        </x:is>
      </x:c>
    </x:row>
    <x:row r="62" ht="42" customHeight="1">
      <x:c r="A62" s="9" t="inlineStr">
        <x:is>
          <x:t xml:space="preserve">7.2</x:t>
        </x:is>
      </x:c>
      <x:c r="B62" s="3" t="inlineStr">
        <x:is>
          <x:t xml:space="preserve">개발</x:t>
        </x:is>
      </x:c>
      <x:c r="C62" s="3" t="inlineStr">
        <x:is>
          <x:t xml:space="preserve">이력</x:t>
        </x:is>
      </x:c>
      <x:c r="D62" s="3" t="inlineStr">
        <x:is>
          <x:t xml:space="preserve">Logging</x:t>
        </x:is>
      </x:c>
      <x:c r="E62" s="3" t="inlineStr">
        <x:is>
          <x:t xml:space="preserve">승인 로그/감사 로그 구현</x:t>
        </x:is>
      </x:c>
      <x:c r="F62" s="10" t="inlineStr">
        <x:is>
          <x:t xml:space="preserve">승인/반려 누가/언제/코멘트 기록</x:t>
        </x:is>
      </x:c>
      <x:c r="G62" s="10" t="inlineStr">
        <x:is>
          <x:t xml:space="preserve">승인 이력 필요(p5)</x:t>
        </x:is>
      </x:c>
      <x:c r="H62" s="3" t="inlineStr">
        <x:is>
          <x:t xml:space="preserve">3.2</x:t>
        </x:is>
      </x:c>
      <x:c r="I62" s="3" t="inlineStr">
        <x:is>
          <x:t xml:space="preserve">BE</x:t>
        </x:is>
      </x:c>
      <x:c r="J62" s="9" t="inlineStr">
        <x:is>
          <x:t xml:space="preserve">중</x:t>
        </x:is>
      </x:c>
      <x:c r="K62" s="3">
        <x:f>IF($J62="","",VLOOKUP($J62,Assumptions!$A$11:$C$14,2,FALSE))</x:f>
      </x:c>
      <x:c r="L62" s="11">
        <x:f>IF($J62="","",VLOOKUP($J62,Assumptions!$A$11:$C$14,3,FALSE)+Assumptions!$G$11)</x:f>
      </x:c>
      <x:c r="M62" s="3">
        <x:f>IF($K62="","",ROUNDUP($K62*$L62,0))</x:f>
      </x:c>
      <x:c r="N62" s="3">
        <x:f>IF($K62="","",$K62+$M62)</x:f>
      </x:c>
      <x:c r="O62" s="12" t="n"/>
      <x:c r="P62" s="3">
        <x:f>IF($O62="",$N62,$O62)</x:f>
      </x:c>
      <x:c r="Q62" s="13" t="n"/>
      <x:c r="R62" s="3">
        <x:f>IF($Q62="","",ROUND($P62*$Q62,2))</x:f>
      </x:c>
      <x:c r="S62" s="3">
        <x:f>IF($Q62="","",$P62-$R62)</x:f>
      </x:c>
      <x:c r="T62" s="9">
        <x:f>IF($Q62="","미착수",IF($Q62&gt;=1,"완료","진행중"))</x:f>
      </x:c>
      <x:c r="U62" s="14" t="n"/>
      <x:c r="V62" s="15">
        <x:f>IF($U62="","",$U62+$P62-1)</x:f>
      </x:c>
      <x:c r="W62" s="3" t="inlineStr">
        <x:is>
          <x:t xml:space="preserve">APPROVAL_AUDIT</x:t>
        </x:is>
      </x:c>
      <x:c r="X62" s="3" t="inlineStr">
        <x:is>
          <x:t xml:space="preserve">p5</x:t>
        </x:is>
      </x:c>
    </x:row>
    <x:row r="63" ht="42" customHeight="1">
      <x:c r="A63" s="9" t="inlineStr">
        <x:is>
          <x:t xml:space="preserve">7.3</x:t>
        </x:is>
      </x:c>
      <x:c r="B63" s="3" t="inlineStr">
        <x:is>
          <x:t xml:space="preserve">개발</x:t>
        </x:is>
      </x:c>
      <x:c r="C63" s="3" t="inlineStr">
        <x:is>
          <x:t xml:space="preserve">이력</x:t>
        </x:is>
      </x:c>
      <x:c r="D63" s="3" t="inlineStr">
        <x:is>
          <x:t xml:space="preserve">History UI</x:t>
        </x:is>
      </x:c>
      <x:c r="E63" s="3" t="inlineStr">
        <x:is>
          <x:t xml:space="preserve">History 목록/검색 UI 개발</x:t>
        </x:is>
      </x:c>
      <x:c r="F63" s="10" t="inlineStr">
        <x:is>
          <x:t xml:space="preserve">기간/법인/부서/상태/검색어 필터, 목록 표시</x:t>
        </x:is>
      </x:c>
      <x:c r="G63" s="10" t="inlineStr">
        <x:is>
          <x:t xml:space="preserve">History(p5)</x:t>
        </x:is>
      </x:c>
      <x:c r="H63" s="3" t="inlineStr">
        <x:is>
          <x:t xml:space="preserve">3.6</x:t>
        </x:is>
      </x:c>
      <x:c r="I63" s="3" t="inlineStr">
        <x:is>
          <x:t xml:space="preserve">FE</x:t>
        </x:is>
      </x:c>
      <x:c r="J63" s="9" t="inlineStr">
        <x:is>
          <x:t xml:space="preserve">중</x:t>
        </x:is>
      </x:c>
      <x:c r="K63" s="3">
        <x:f>IF($J63="","",VLOOKUP($J63,Assumptions!$A$11:$C$14,2,FALSE))</x:f>
      </x:c>
      <x:c r="L63" s="11">
        <x:f>IF($J63="","",VLOOKUP($J63,Assumptions!$A$11:$C$14,3,FALSE)+Assumptions!$G$11)</x:f>
      </x:c>
      <x:c r="M63" s="3">
        <x:f>IF($K63="","",ROUNDUP($K63*$L63,0))</x:f>
      </x:c>
      <x:c r="N63" s="3">
        <x:f>IF($K63="","",$K63+$M63)</x:f>
      </x:c>
      <x:c r="O63" s="12" t="n"/>
      <x:c r="P63" s="3">
        <x:f>IF($O63="",$N63,$O63)</x:f>
      </x:c>
      <x:c r="Q63" s="13" t="n"/>
      <x:c r="R63" s="3">
        <x:f>IF($Q63="","",ROUND($P63*$Q63,2))</x:f>
      </x:c>
      <x:c r="S63" s="3">
        <x:f>IF($Q63="","",$P63-$R63)</x:f>
      </x:c>
      <x:c r="T63" s="9">
        <x:f>IF($Q63="","미착수",IF($Q63&gt;=1,"완료","진행중"))</x:f>
      </x:c>
      <x:c r="U63" s="14" t="n"/>
      <x:c r="V63" s="15">
        <x:f>IF($U63="","",$U63+$P63-1)</x:f>
      </x:c>
      <x:c r="W63" s="3" t="inlineStr">
        <x:is>
          <x:t xml:space="preserve">History 화면</x:t>
        </x:is>
      </x:c>
      <x:c r="X63" s="3" t="inlineStr">
        <x:is>
          <x:t xml:space="preserve">p5</x:t>
        </x:is>
      </x:c>
    </x:row>
    <x:row r="64" ht="42" customHeight="1">
      <x:c r="A64" s="9" t="inlineStr">
        <x:is>
          <x:t xml:space="preserve">7.4</x:t>
        </x:is>
      </x:c>
      <x:c r="B64" s="3" t="inlineStr">
        <x:is>
          <x:t xml:space="preserve">개발</x:t>
        </x:is>
      </x:c>
      <x:c r="C64" s="3" t="inlineStr">
        <x:is>
          <x:t xml:space="preserve">이력</x:t>
        </x:is>
      </x:c>
      <x:c r="D64" s="3" t="inlineStr">
        <x:is>
          <x:t xml:space="preserve">History API</x:t>
        </x:is>
      </x:c>
      <x:c r="E64" s="3" t="inlineStr">
        <x:is>
          <x:t xml:space="preserve">History 조회 API 개발</x:t>
        </x:is>
      </x:c>
      <x:c r="F64" s="10" t="inlineStr">
        <x:is>
          <x:t xml:space="preserve">필터 조건 기반 조회, 페이징, 상세 조회</x:t>
        </x:is>
      </x:c>
      <x:c r="G64" s="10" t="inlineStr">
        <x:is>
          <x:t xml:space="preserve">History(p5)</x:t>
        </x:is>
      </x:c>
      <x:c r="H64" s="3" t="inlineStr">
        <x:is>
          <x:t xml:space="preserve">3.3</x:t>
        </x:is>
      </x:c>
      <x:c r="I64" s="3" t="inlineStr">
        <x:is>
          <x:t xml:space="preserve">BE</x:t>
        </x:is>
      </x:c>
      <x:c r="J64" s="9" t="inlineStr">
        <x:is>
          <x:t xml:space="preserve">중</x:t>
        </x:is>
      </x:c>
      <x:c r="K64" s="3">
        <x:f>IF($J64="","",VLOOKUP($J64,Assumptions!$A$11:$C$14,2,FALSE))</x:f>
      </x:c>
      <x:c r="L64" s="11">
        <x:f>IF($J64="","",VLOOKUP($J64,Assumptions!$A$11:$C$14,3,FALSE)+Assumptions!$G$11)</x:f>
      </x:c>
      <x:c r="M64" s="3">
        <x:f>IF($K64="","",ROUNDUP($K64*$L64,0))</x:f>
      </x:c>
      <x:c r="N64" s="3">
        <x:f>IF($K64="","",$K64+$M64)</x:f>
      </x:c>
      <x:c r="O64" s="12" t="n"/>
      <x:c r="P64" s="3">
        <x:f>IF($O64="",$N64,$O64)</x:f>
      </x:c>
      <x:c r="Q64" s="13" t="n"/>
      <x:c r="R64" s="3">
        <x:f>IF($Q64="","",ROUND($P64*$Q64,2))</x:f>
      </x:c>
      <x:c r="S64" s="3">
        <x:f>IF($Q64="","",$P64-$R64)</x:f>
      </x:c>
      <x:c r="T64" s="9">
        <x:f>IF($Q64="","미착수",IF($Q64&gt;=1,"완료","진행중"))</x:f>
      </x:c>
      <x:c r="U64" s="14" t="n"/>
      <x:c r="V64" s="15">
        <x:f>IF($U64="","",$U64+$P64-1)</x:f>
      </x:c>
      <x:c r="W64" s="3" t="inlineStr">
        <x:is>
          <x:t xml:space="preserve">History API</x:t>
        </x:is>
      </x:c>
      <x:c r="X64" s="3" t="inlineStr">
        <x:is>
          <x:t xml:space="preserve">p5</x:t>
        </x:is>
      </x:c>
    </x:row>
    <x:row r="65" ht="42" customHeight="1">
      <x:c r="A65" s="9" t="inlineStr">
        <x:is>
          <x:t xml:space="preserve">7.5</x:t>
        </x:is>
      </x:c>
      <x:c r="B65" s="3" t="inlineStr">
        <x:is>
          <x:t xml:space="preserve">개발</x:t>
        </x:is>
      </x:c>
      <x:c r="C65" s="3" t="inlineStr">
        <x:is>
          <x:t xml:space="preserve">대시보드</x:t>
        </x:is>
      </x:c>
      <x:c r="D65" s="3" t="inlineStr">
        <x:is>
          <x:t xml:space="preserve">Dashboard</x:t>
        </x:is>
      </x:c>
      <x:c r="E65" s="3" t="inlineStr">
        <x:is>
          <x:t xml:space="preserve">월간 캘린더 뷰 API/화면</x:t>
        </x:is>
      </x:c>
      <x:c r="F65" s="10" t="inlineStr">
        <x:is>
          <x:t xml:space="preserve">월간 공지/점검 일정을 캘린더 형태로 제공</x:t>
        </x:is>
      </x:c>
      <x:c r="G65" s="10" t="inlineStr">
        <x:is>
          <x:t xml:space="preserve">Monthly View(p6-7)</x:t>
        </x:is>
      </x:c>
      <x:c r="H65" s="3" t="inlineStr">
        <x:is>
          <x:t xml:space="preserve">3.7</x:t>
        </x:is>
      </x:c>
      <x:c r="I65" s="3" t="inlineStr">
        <x:is>
          <x:t xml:space="preserve">FE/BE</x:t>
        </x:is>
      </x:c>
      <x:c r="J65" s="9" t="inlineStr">
        <x:is>
          <x:t xml:space="preserve">상</x:t>
        </x:is>
      </x:c>
      <x:c r="K65" s="3">
        <x:f>IF($J65="","",VLOOKUP($J65,Assumptions!$A$11:$C$14,2,FALSE))</x:f>
      </x:c>
      <x:c r="L65" s="11">
        <x:f>IF($J65="","",VLOOKUP($J65,Assumptions!$A$11:$C$14,3,FALSE)+Assumptions!$G$11)</x:f>
      </x:c>
      <x:c r="M65" s="3">
        <x:f>IF($K65="","",ROUNDUP($K65*$L65,0))</x:f>
      </x:c>
      <x:c r="N65" s="3">
        <x:f>IF($K65="","",$K65+$M65)</x:f>
      </x:c>
      <x:c r="O65" s="12" t="n"/>
      <x:c r="P65" s="3">
        <x:f>IF($O65="",$N65,$O65)</x:f>
      </x:c>
      <x:c r="Q65" s="13" t="n"/>
      <x:c r="R65" s="3">
        <x:f>IF($Q65="","",ROUND($P65*$Q65,2))</x:f>
      </x:c>
      <x:c r="S65" s="3">
        <x:f>IF($Q65="","",$P65-$R65)</x:f>
      </x:c>
      <x:c r="T65" s="9">
        <x:f>IF($Q65="","미착수",IF($Q65&gt;=1,"완료","진행중"))</x:f>
      </x:c>
      <x:c r="U65" s="14" t="n"/>
      <x:c r="V65" s="15">
        <x:f>IF($U65="","",$U65+$P65-1)</x:f>
      </x:c>
      <x:c r="W65" s="3" t="inlineStr">
        <x:is>
          <x:t xml:space="preserve">월간 캘린더</x:t>
        </x:is>
      </x:c>
      <x:c r="X65" s="3" t="inlineStr">
        <x:is>
          <x:t xml:space="preserve">p6-7</x:t>
        </x:is>
      </x:c>
    </x:row>
    <x:row r="66" ht="42" customHeight="1">
      <x:c r="A66" s="9" t="inlineStr">
        <x:is>
          <x:t xml:space="preserve">7.6</x:t>
        </x:is>
      </x:c>
      <x:c r="B66" s="3" t="inlineStr">
        <x:is>
          <x:t xml:space="preserve">개발</x:t>
        </x:is>
      </x:c>
      <x:c r="C66" s="3" t="inlineStr">
        <x:is>
          <x:t xml:space="preserve">대시보드</x:t>
        </x:is>
      </x:c>
      <x:c r="D66" s="3" t="inlineStr">
        <x:is>
          <x:t xml:space="preserve">Dashboard</x:t>
        </x:is>
      </x:c>
      <x:c r="E66" s="3" t="inlineStr">
        <x:is>
          <x:t xml:space="preserve">최근 공지 목록 위젯 구현</x:t>
        </x:is>
      </x:c>
      <x:c r="F66" s="10" t="inlineStr">
        <x:is>
          <x:t xml:space="preserve">최근 공지 리스트(유형/발송자/수신부서) 표시</x:t>
        </x:is>
      </x:c>
      <x:c r="G66" s="10" t="inlineStr">
        <x:is>
          <x:t xml:space="preserve">최근 공지 목록(p6-7)</x:t>
        </x:is>
      </x:c>
      <x:c r="H66" s="3" t="inlineStr">
        <x:is>
          <x:t xml:space="preserve">3.7</x:t>
        </x:is>
      </x:c>
      <x:c r="I66" s="3" t="inlineStr">
        <x:is>
          <x:t xml:space="preserve">FE/BE</x:t>
        </x:is>
      </x:c>
      <x:c r="J66" s="9" t="inlineStr">
        <x:is>
          <x:t xml:space="preserve">중</x:t>
        </x:is>
      </x:c>
      <x:c r="K66" s="3">
        <x:f>IF($J66="","",VLOOKUP($J66,Assumptions!$A$11:$C$14,2,FALSE))</x:f>
      </x:c>
      <x:c r="L66" s="11">
        <x:f>IF($J66="","",VLOOKUP($J66,Assumptions!$A$11:$C$14,3,FALSE)+Assumptions!$G$11)</x:f>
      </x:c>
      <x:c r="M66" s="3">
        <x:f>IF($K66="","",ROUNDUP($K66*$L66,0))</x:f>
      </x:c>
      <x:c r="N66" s="3">
        <x:f>IF($K66="","",$K66+$M66)</x:f>
      </x:c>
      <x:c r="O66" s="12" t="n"/>
      <x:c r="P66" s="3">
        <x:f>IF($O66="",$N66,$O66)</x:f>
      </x:c>
      <x:c r="Q66" s="13" t="n"/>
      <x:c r="R66" s="3">
        <x:f>IF($Q66="","",ROUND($P66*$Q66,2))</x:f>
      </x:c>
      <x:c r="S66" s="3">
        <x:f>IF($Q66="","",$P66-$R66)</x:f>
      </x:c>
      <x:c r="T66" s="9">
        <x:f>IF($Q66="","미착수",IF($Q66&gt;=1,"완료","진행중"))</x:f>
      </x:c>
      <x:c r="U66" s="14" t="n"/>
      <x:c r="V66" s="15">
        <x:f>IF($U66="","",$U66+$P66-1)</x:f>
      </x:c>
      <x:c r="W66" s="3" t="inlineStr">
        <x:is>
          <x:t xml:space="preserve">최근공지 위젯</x:t>
        </x:is>
      </x:c>
      <x:c r="X66" s="3" t="inlineStr">
        <x:is>
          <x:t xml:space="preserve">p6-7</x:t>
        </x:is>
      </x:c>
    </x:row>
    <x:row r="67" ht="42" customHeight="1">
      <x:c r="A67" s="9" t="inlineStr">
        <x:is>
          <x:t xml:space="preserve">7.7</x:t>
        </x:is>
      </x:c>
      <x:c r="B67" s="3" t="inlineStr">
        <x:is>
          <x:t xml:space="preserve">개발</x:t>
        </x:is>
      </x:c>
      <x:c r="C67" s="3" t="inlineStr">
        <x:is>
          <x:t xml:space="preserve">대시보드</x:t>
        </x:is>
      </x:c>
      <x:c r="D67" s="3" t="inlineStr">
        <x:is>
          <x:t xml:space="preserve">Dashboard</x:t>
        </x:is>
      </x:c>
      <x:c r="E67" s="3" t="inlineStr">
        <x:is>
          <x:t xml:space="preserve">공지 유형 통계(건수) 구현</x:t>
        </x:is>
      </x:c>
      <x:c r="F67" s="10" t="inlineStr">
        <x:is>
          <x:t xml:space="preserve">유형별 건수 집계, 기간 필터</x:t>
        </x:is>
      </x:c>
      <x:c r="G67" s="10" t="inlineStr">
        <x:is>
          <x:t xml:space="preserve">유형 통계(p7)</x:t>
        </x:is>
      </x:c>
      <x:c r="H67" s="3" t="inlineStr">
        <x:is>
          <x:t xml:space="preserve">3.7</x:t>
        </x:is>
      </x:c>
      <x:c r="I67" s="3" t="inlineStr">
        <x:is>
          <x:t xml:space="preserve">BE/FE</x:t>
        </x:is>
      </x:c>
      <x:c r="J67" s="9" t="inlineStr">
        <x:is>
          <x:t xml:space="preserve">중</x:t>
        </x:is>
      </x:c>
      <x:c r="K67" s="3">
        <x:f>IF($J67="","",VLOOKUP($J67,Assumptions!$A$11:$C$14,2,FALSE))</x:f>
      </x:c>
      <x:c r="L67" s="11">
        <x:f>IF($J67="","",VLOOKUP($J67,Assumptions!$A$11:$C$14,3,FALSE)+Assumptions!$G$11)</x:f>
      </x:c>
      <x:c r="M67" s="3">
        <x:f>IF($K67="","",ROUNDUP($K67*$L67,0))</x:f>
      </x:c>
      <x:c r="N67" s="3">
        <x:f>IF($K67="","",$K67+$M67)</x:f>
      </x:c>
      <x:c r="O67" s="12" t="n"/>
      <x:c r="P67" s="3">
        <x:f>IF($O67="",$N67,$O67)</x:f>
      </x:c>
      <x:c r="Q67" s="13" t="n"/>
      <x:c r="R67" s="3">
        <x:f>IF($Q67="","",ROUND($P67*$Q67,2))</x:f>
      </x:c>
      <x:c r="S67" s="3">
        <x:f>IF($Q67="","",$P67-$R67)</x:f>
      </x:c>
      <x:c r="T67" s="9">
        <x:f>IF($Q67="","미착수",IF($Q67&gt;=1,"완료","진행중"))</x:f>
      </x:c>
      <x:c r="U67" s="14" t="n"/>
      <x:c r="V67" s="15">
        <x:f>IF($U67="","",$U67+$P67-1)</x:f>
      </x:c>
      <x:c r="W67" s="3" t="inlineStr">
        <x:is>
          <x:t xml:space="preserve">유형통계</x:t>
        </x:is>
      </x:c>
      <x:c r="X67" s="3" t="inlineStr">
        <x:is>
          <x:t xml:space="preserve">p7</x:t>
        </x:is>
      </x:c>
    </x:row>
    <x:row r="68" ht="42" customHeight="1">
      <x:c r="A68" s="9" t="inlineStr">
        <x:is>
          <x:t xml:space="preserve">7.8</x:t>
        </x:is>
      </x:c>
      <x:c r="B68" s="3" t="inlineStr">
        <x:is>
          <x:t xml:space="preserve">개발</x:t>
        </x:is>
      </x:c>
      <x:c r="C68" s="3" t="inlineStr">
        <x:is>
          <x:t xml:space="preserve">대시보드</x:t>
        </x:is>
      </x:c>
      <x:c r="D68" s="3" t="inlineStr">
        <x:is>
          <x:t xml:space="preserve">Dashboard</x:t>
        </x:is>
      </x:c>
      <x:c r="E68" s="3" t="inlineStr">
        <x:is>
          <x:t xml:space="preserve">상태 KPI(결재대기/발송예정/실패/완료)</x:t>
        </x:is>
      </x:c>
      <x:c r="F68" s="10" t="inlineStr">
        <x:is>
          <x:t xml:space="preserve">상태별 건수 카드 표시</x:t>
        </x:is>
      </x:c>
      <x:c r="G68" s="10" t="inlineStr">
        <x:is>
          <x:t xml:space="preserve">KPI 카드(p7)</x:t>
        </x:is>
      </x:c>
      <x:c r="H68" s="3" t="inlineStr">
        <x:is>
          <x:t xml:space="preserve">3.7</x:t>
        </x:is>
      </x:c>
      <x:c r="I68" s="3" t="inlineStr">
        <x:is>
          <x:t xml:space="preserve">BE/FE</x:t>
        </x:is>
      </x:c>
      <x:c r="J68" s="9" t="inlineStr">
        <x:is>
          <x:t xml:space="preserve">중</x:t>
        </x:is>
      </x:c>
      <x:c r="K68" s="3">
        <x:f>IF($J68="","",VLOOKUP($J68,Assumptions!$A$11:$C$14,2,FALSE))</x:f>
      </x:c>
      <x:c r="L68" s="11">
        <x:f>IF($J68="","",VLOOKUP($J68,Assumptions!$A$11:$C$14,3,FALSE)+Assumptions!$G$11)</x:f>
      </x:c>
      <x:c r="M68" s="3">
        <x:f>IF($K68="","",ROUNDUP($K68*$L68,0))</x:f>
      </x:c>
      <x:c r="N68" s="3">
        <x:f>IF($K68="","",$K68+$M68)</x:f>
      </x:c>
      <x:c r="O68" s="12" t="n"/>
      <x:c r="P68" s="3">
        <x:f>IF($O68="",$N68,$O68)</x:f>
      </x:c>
      <x:c r="Q68" s="13" t="n"/>
      <x:c r="R68" s="3">
        <x:f>IF($Q68="","",ROUND($P68*$Q68,2))</x:f>
      </x:c>
      <x:c r="S68" s="3">
        <x:f>IF($Q68="","",$P68-$R68)</x:f>
      </x:c>
      <x:c r="T68" s="9">
        <x:f>IF($Q68="","미착수",IF($Q68&gt;=1,"완료","진행중"))</x:f>
      </x:c>
      <x:c r="U68" s="14" t="n"/>
      <x:c r="V68" s="15">
        <x:f>IF($U68="","",$U68+$P68-1)</x:f>
      </x:c>
      <x:c r="W68" s="3" t="inlineStr">
        <x:is>
          <x:t xml:space="preserve">상태 KPI</x:t>
        </x:is>
      </x:c>
      <x:c r="X68" s="3" t="inlineStr">
        <x:is>
          <x:t xml:space="preserve">p7</x:t>
        </x:is>
      </x:c>
    </x:row>
    <x:row r="69" ht="42" customHeight="1">
      <x:c r="A69" s="9" t="inlineStr">
        <x:is>
          <x:t xml:space="preserve">7.9</x:t>
        </x:is>
      </x:c>
      <x:c r="B69" s="3" t="inlineStr">
        <x:is>
          <x:t xml:space="preserve">개발</x:t>
        </x:is>
      </x:c>
      <x:c r="C69" s="3" t="inlineStr">
        <x:is>
          <x:t xml:space="preserve">대시보드</x:t>
        </x:is>
      </x:c>
      <x:c r="D69" s="3" t="inlineStr">
        <x:is>
          <x:t xml:space="preserve">Dashboard</x:t>
        </x:is>
      </x:c>
      <x:c r="E69" s="3" t="inlineStr">
        <x:is>
          <x:t xml:space="preserve">점검 일정 목록 구현</x:t>
        </x:is>
      </x:c>
      <x:c r="F69" s="10" t="inlineStr">
        <x:is>
          <x:t xml:space="preserve">점검/업데이트 일정 테이블(시작/종료/담당부서)</x:t>
        </x:is>
      </x:c>
      <x:c r="G69" s="10" t="inlineStr">
        <x:is>
          <x:t xml:space="preserve">시스템 점검 일정(p6)</x:t>
        </x:is>
      </x:c>
      <x:c r="H69" s="3" t="inlineStr">
        <x:is>
          <x:t xml:space="preserve">3.7</x:t>
        </x:is>
      </x:c>
      <x:c r="I69" s="3" t="inlineStr">
        <x:is>
          <x:t xml:space="preserve">FE/BE</x:t>
        </x:is>
      </x:c>
      <x:c r="J69" s="9" t="inlineStr">
        <x:is>
          <x:t xml:space="preserve">상</x:t>
        </x:is>
      </x:c>
      <x:c r="K69" s="3">
        <x:f>IF($J69="","",VLOOKUP($J69,Assumptions!$A$11:$C$14,2,FALSE))</x:f>
      </x:c>
      <x:c r="L69" s="11">
        <x:f>IF($J69="","",VLOOKUP($J69,Assumptions!$A$11:$C$14,3,FALSE)+Assumptions!$G$11)</x:f>
      </x:c>
      <x:c r="M69" s="3">
        <x:f>IF($K69="","",ROUNDUP($K69*$L69,0))</x:f>
      </x:c>
      <x:c r="N69" s="3">
        <x:f>IF($K69="","",$K69+$M69)</x:f>
      </x:c>
      <x:c r="O69" s="12" t="n"/>
      <x:c r="P69" s="3">
        <x:f>IF($O69="",$N69,$O69)</x:f>
      </x:c>
      <x:c r="Q69" s="13" t="n"/>
      <x:c r="R69" s="3">
        <x:f>IF($Q69="","",ROUND($P69*$Q69,2))</x:f>
      </x:c>
      <x:c r="S69" s="3">
        <x:f>IF($Q69="","",$P69-$R69)</x:f>
      </x:c>
      <x:c r="T69" s="9">
        <x:f>IF($Q69="","미착수",IF($Q69&gt;=1,"완료","진행중"))</x:f>
      </x:c>
      <x:c r="U69" s="14" t="n"/>
      <x:c r="V69" s="15">
        <x:f>IF($U69="","",$U69+$P69-1)</x:f>
      </x:c>
      <x:c r="W69" s="3" t="inlineStr">
        <x:is>
          <x:t xml:space="preserve">점검 일정</x:t>
        </x:is>
      </x:c>
      <x:c r="X69" s="3" t="inlineStr">
        <x:is>
          <x:t xml:space="preserve">p6-7</x:t>
        </x:is>
      </x:c>
    </x:row>
    <x:row r="70" ht="42" customHeight="1">
      <x:c r="A70" s="9" t="inlineStr">
        <x:is>
          <x:t xml:space="preserve">7.10</x:t>
        </x:is>
      </x:c>
      <x:c r="B70" s="3" t="inlineStr">
        <x:is>
          <x:t xml:space="preserve">개발</x:t>
        </x:is>
      </x:c>
      <x:c r="C70" s="3" t="inlineStr">
        <x:is>
          <x:t xml:space="preserve">대시보드</x:t>
        </x:is>
      </x:c>
      <x:c r="D70" s="3" t="inlineStr">
        <x:is>
          <x:t xml:space="preserve">Dashboard</x:t>
        </x:is>
      </x:c>
      <x:c r="E70" s="3" t="inlineStr">
        <x:is>
          <x:t xml:space="preserve">부서별 공지 수신 현황 구현(가정 포함)</x:t>
        </x:is>
      </x:c>
      <x:c r="F70" s="10" t="inlineStr">
        <x:is>
          <x:t xml:space="preserve">대상 부서 기준 수신 현황 시각화 (실제 열람 여부는 미집계 가능)</x:t>
        </x:is>
      </x:c>
      <x:c r="G70" s="10" t="inlineStr">
        <x:is>
          <x:t xml:space="preserve">부서별 현황(p7)</x:t>
        </x:is>
      </x:c>
      <x:c r="H70" s="3" t="inlineStr">
        <x:is>
          <x:t xml:space="preserve">3.7</x:t>
        </x:is>
      </x:c>
      <x:c r="I70" s="3" t="inlineStr">
        <x:is>
          <x:t xml:space="preserve">BE/FE</x:t>
        </x:is>
      </x:c>
      <x:c r="J70" s="9" t="inlineStr">
        <x:is>
          <x:t xml:space="preserve">상</x:t>
        </x:is>
      </x:c>
      <x:c r="K70" s="3">
        <x:f>IF($J70="","",VLOOKUP($J70,Assumptions!$A$11:$C$14,2,FALSE))</x:f>
      </x:c>
      <x:c r="L70" s="11">
        <x:f>IF($J70="","",VLOOKUP($J70,Assumptions!$A$11:$C$14,3,FALSE)+Assumptions!$G$11)</x:f>
      </x:c>
      <x:c r="M70" s="3">
        <x:f>IF($K70="","",ROUNDUP($K70*$L70,0))</x:f>
      </x:c>
      <x:c r="N70" s="3">
        <x:f>IF($K70="","",$K70+$M70)</x:f>
      </x:c>
      <x:c r="O70" s="12" t="n"/>
      <x:c r="P70" s="3">
        <x:f>IF($O70="",$N70,$O70)</x:f>
      </x:c>
      <x:c r="Q70" s="13" t="n"/>
      <x:c r="R70" s="3">
        <x:f>IF($Q70="","",ROUND($P70*$Q70,2))</x:f>
      </x:c>
      <x:c r="S70" s="3">
        <x:f>IF($Q70="","",$P70-$R70)</x:f>
      </x:c>
      <x:c r="T70" s="9">
        <x:f>IF($Q70="","미착수",IF($Q70&gt;=1,"완료","진행중"))</x:f>
      </x:c>
      <x:c r="U70" s="14" t="n"/>
      <x:c r="V70" s="15">
        <x:f>IF($U70="","",$U70+$P70-1)</x:f>
      </x:c>
      <x:c r="W70" s="3" t="inlineStr">
        <x:is>
          <x:t xml:space="preserve">부서별 현황</x:t>
        </x:is>
      </x:c>
      <x:c r="X70" s="3" t="inlineStr">
        <x:is>
          <x:t xml:space="preserve">p7</x:t>
        </x:is>
      </x:c>
    </x:row>
    <x:row r="71" ht="42" customHeight="1">
      <x:c r="A71" s="9" t="inlineStr">
        <x:is>
          <x:t xml:space="preserve">8.1</x:t>
        </x:is>
      </x:c>
      <x:c r="B71" s="3" t="inlineStr">
        <x:is>
          <x:t xml:space="preserve">확장</x:t>
        </x:is>
      </x:c>
      <x:c r="C71" s="3" t="inlineStr">
        <x:is>
          <x:t xml:space="preserve">완료공지</x:t>
        </x:is>
      </x:c>
      <x:c r="D71" s="3" t="inlineStr">
        <x:is>
          <x:t xml:space="preserve">Completion</x:t>
        </x:is>
      </x:c>
      <x:c r="E71" s="3" t="inlineStr">
        <x:is>
          <x:t xml:space="preserve">완료공지 등록 UI/기능</x:t>
        </x:is>
      </x:c>
      <x:c r="F71" s="10" t="inlineStr">
        <x:is>
          <x:t xml:space="preserve">점검/장애 공지에 ‘완료공지 등록’ 버튼/폼 제공</x:t>
        </x:is>
      </x:c>
      <x:c r="G71" s="10" t="inlineStr">
        <x:is>
          <x:t xml:space="preserve">완료공지 프로세스(p8)</x:t>
        </x:is>
      </x:c>
      <x:c r="H71" s="3" t="inlineStr">
        <x:is>
          <x:t xml:space="preserve">7.5</x:t>
        </x:is>
      </x:c>
      <x:c r="I71" s="3" t="inlineStr">
        <x:is>
          <x:t xml:space="preserve">FE/BE</x:t>
        </x:is>
      </x:c>
      <x:c r="J71" s="9" t="inlineStr">
        <x:is>
          <x:t xml:space="preserve">상</x:t>
        </x:is>
      </x:c>
      <x:c r="K71" s="3">
        <x:f>IF($J71="","",VLOOKUP($J71,Assumptions!$A$11:$C$14,2,FALSE))</x:f>
      </x:c>
      <x:c r="L71" s="11">
        <x:f>IF($J71="","",VLOOKUP($J71,Assumptions!$A$11:$C$14,3,FALSE)+Assumptions!$G$11)</x:f>
      </x:c>
      <x:c r="M71" s="3">
        <x:f>IF($K71="","",ROUNDUP($K71*$L71,0))</x:f>
      </x:c>
      <x:c r="N71" s="3">
        <x:f>IF($K71="","",$K71+$M71)</x:f>
      </x:c>
      <x:c r="O71" s="12" t="n"/>
      <x:c r="P71" s="3">
        <x:f>IF($O71="",$N71,$O71)</x:f>
      </x:c>
      <x:c r="Q71" s="13" t="n"/>
      <x:c r="R71" s="3">
        <x:f>IF($Q71="","",ROUND($P71*$Q71,2))</x:f>
      </x:c>
      <x:c r="S71" s="3">
        <x:f>IF($Q71="","",$P71-$R71)</x:f>
      </x:c>
      <x:c r="T71" s="9">
        <x:f>IF($Q71="","미착수",IF($Q71&gt;=1,"완료","진행중"))</x:f>
      </x:c>
      <x:c r="U71" s="14" t="n"/>
      <x:c r="V71" s="15">
        <x:f>IF($U71="","",$U71+$P71-1)</x:f>
      </x:c>
      <x:c r="W71" s="3" t="inlineStr">
        <x:is>
          <x:t xml:space="preserve">완료공지 화면/기능</x:t>
        </x:is>
      </x:c>
      <x:c r="X71" s="3" t="inlineStr">
        <x:is>
          <x:t xml:space="preserve">p8</x:t>
        </x:is>
      </x:c>
    </x:row>
    <x:row r="72" ht="42" customHeight="1">
      <x:c r="A72" s="9" t="inlineStr">
        <x:is>
          <x:t xml:space="preserve">8.2</x:t>
        </x:is>
      </x:c>
      <x:c r="B72" s="3" t="inlineStr">
        <x:is>
          <x:t xml:space="preserve">확장</x:t>
        </x:is>
      </x:c>
      <x:c r="C72" s="3" t="inlineStr">
        <x:is>
          <x:t xml:space="preserve">완료공지</x:t>
        </x:is>
      </x:c>
      <x:c r="D72" s="3" t="inlineStr">
        <x:is>
          <x:t xml:space="preserve">Completion</x:t>
        </x:is>
      </x:c>
      <x:c r="E72" s="3" t="inlineStr">
        <x:is>
          <x:t xml:space="preserve">작업 완료 상태 표시/연계</x:t>
        </x:is>
      </x:c>
      <x:c r="F72" s="10" t="inlineStr">
        <x:is>
          <x:t xml:space="preserve">원 공지 상태를 완료로 변경, 대시보드/캘린더 완료 표시</x:t>
        </x:is>
      </x:c>
      <x:c r="G72" s="10" t="inlineStr">
        <x:is>
          <x:t xml:space="preserve">완료 상태 표시(p8)</x:t>
        </x:is>
      </x:c>
      <x:c r="H72" s="3" t="inlineStr">
        <x:is>
          <x:t xml:space="preserve">8.1</x:t>
        </x:is>
      </x:c>
      <x:c r="I72" s="3" t="inlineStr">
        <x:is>
          <x:t xml:space="preserve">BE/FE</x:t>
        </x:is>
      </x:c>
      <x:c r="J72" s="9" t="inlineStr">
        <x:is>
          <x:t xml:space="preserve">중</x:t>
        </x:is>
      </x:c>
      <x:c r="K72" s="3">
        <x:f>IF($J72="","",VLOOKUP($J72,Assumptions!$A$11:$C$14,2,FALSE))</x:f>
      </x:c>
      <x:c r="L72" s="11">
        <x:f>IF($J72="","",VLOOKUP($J72,Assumptions!$A$11:$C$14,3,FALSE)+Assumptions!$G$11)</x:f>
      </x:c>
      <x:c r="M72" s="3">
        <x:f>IF($K72="","",ROUNDUP($K72*$L72,0))</x:f>
      </x:c>
      <x:c r="N72" s="3">
        <x:f>IF($K72="","",$K72+$M72)</x:f>
      </x:c>
      <x:c r="O72" s="12" t="n"/>
      <x:c r="P72" s="3">
        <x:f>IF($O72="",$N72,$O72)</x:f>
      </x:c>
      <x:c r="Q72" s="13" t="n"/>
      <x:c r="R72" s="3">
        <x:f>IF($Q72="","",ROUND($P72*$Q72,2))</x:f>
      </x:c>
      <x:c r="S72" s="3">
        <x:f>IF($Q72="","",$P72-$R72)</x:f>
      </x:c>
      <x:c r="T72" s="9">
        <x:f>IF($Q72="","미착수",IF($Q72&gt;=1,"완료","진행중"))</x:f>
      </x:c>
      <x:c r="U72" s="14" t="n"/>
      <x:c r="V72" s="15">
        <x:f>IF($U72="","",$U72+$P72-1)</x:f>
      </x:c>
      <x:c r="W72" s="3" t="inlineStr">
        <x:is>
          <x:t xml:space="preserve">완료 상태 연계</x:t>
        </x:is>
      </x:c>
      <x:c r="X72" s="3" t="inlineStr">
        <x:is>
          <x:t xml:space="preserve">p8</x:t>
        </x:is>
      </x:c>
    </x:row>
    <x:row r="73" ht="42" customHeight="1">
      <x:c r="A73" s="9" t="inlineStr">
        <x:is>
          <x:t xml:space="preserve">8.3</x:t>
        </x:is>
      </x:c>
      <x:c r="B73" s="3" t="inlineStr">
        <x:is>
          <x:t xml:space="preserve">확장</x:t>
        </x:is>
      </x:c>
      <x:c r="C73" s="3" t="inlineStr">
        <x:is>
          <x:t xml:space="preserve">알림채널</x:t>
        </x:is>
      </x:c>
      <x:c r="D73" s="3" t="inlineStr">
        <x:is>
          <x:t xml:space="preserve">API Guide</x:t>
        </x:is>
      </x:c>
      <x:c r="E73" s="3" t="inlineStr">
        <x:is>
          <x:t xml:space="preserve">알림 연계 표준 API Guide 작성</x:t>
        </x:is>
      </x:c>
      <x:c r="F73" s="10" t="inlineStr">
        <x:is>
          <x:t xml:space="preserve">연계 규격, 인증, 페이로드, 오류 표준</x:t>
        </x:is>
      </x:c>
      <x:c r="G73" s="10" t="inlineStr">
        <x:is>
          <x:t xml:space="preserve">API Guide(p9)</x:t>
        </x:is>
      </x:c>
      <x:c r="H73" s="3" t="inlineStr">
        <x:is>
          <x:t xml:space="preserve">2.11</x:t>
        </x:is>
      </x:c>
      <x:c r="I73" s="3" t="inlineStr">
        <x:is>
          <x:t xml:space="preserve">Arch/BE</x:t>
        </x:is>
      </x:c>
      <x:c r="J73" s="9" t="inlineStr">
        <x:is>
          <x:t xml:space="preserve">중</x:t>
        </x:is>
      </x:c>
      <x:c r="K73" s="3">
        <x:f>IF($J73="","",VLOOKUP($J73,Assumptions!$A$11:$C$14,2,FALSE))</x:f>
      </x:c>
      <x:c r="L73" s="11">
        <x:f>IF($J73="","",VLOOKUP($J73,Assumptions!$A$11:$C$14,3,FALSE)+Assumptions!$G$11)</x:f>
      </x:c>
      <x:c r="M73" s="3">
        <x:f>IF($K73="","",ROUNDUP($K73*$L73,0))</x:f>
      </x:c>
      <x:c r="N73" s="3">
        <x:f>IF($K73="","",$K73+$M73)</x:f>
      </x:c>
      <x:c r="O73" s="12" t="n"/>
      <x:c r="P73" s="3">
        <x:f>IF($O73="",$N73,$O73)</x:f>
      </x:c>
      <x:c r="Q73" s="13" t="n"/>
      <x:c r="R73" s="3">
        <x:f>IF($Q73="","",ROUND($P73*$Q73,2))</x:f>
      </x:c>
      <x:c r="S73" s="3">
        <x:f>IF($Q73="","",$P73-$R73)</x:f>
      </x:c>
      <x:c r="T73" s="9">
        <x:f>IF($Q73="","미착수",IF($Q73&gt;=1,"완료","진행중"))</x:f>
      </x:c>
      <x:c r="U73" s="14" t="n"/>
      <x:c r="V73" s="15">
        <x:f>IF($U73="","",$U73+$P73-1)</x:f>
      </x:c>
      <x:c r="W73" s="3" t="inlineStr">
        <x:is>
          <x:t xml:space="preserve">연계 가이드</x:t>
        </x:is>
      </x:c>
      <x:c r="X73" s="3" t="inlineStr">
        <x:is>
          <x:t xml:space="preserve">p9</x:t>
        </x:is>
      </x:c>
    </x:row>
    <x:row r="74" ht="42" customHeight="1">
      <x:c r="A74" s="9" t="inlineStr">
        <x:is>
          <x:t xml:space="preserve">8.4</x:t>
        </x:is>
      </x:c>
      <x:c r="B74" s="3" t="inlineStr">
        <x:is>
          <x:t xml:space="preserve">확장</x:t>
        </x:is>
      </x:c>
      <x:c r="C74" s="3" t="inlineStr">
        <x:is>
          <x:t xml:space="preserve">알림채널</x:t>
        </x:is>
      </x:c>
      <x:c r="D74" s="3" t="inlineStr">
        <x:is>
          <x:t xml:space="preserve">Connectors</x:t>
        </x:is>
      </x:c>
      <x:c r="E74" s="3" t="inlineStr">
        <x:is>
          <x:t xml:space="preserve">연계 서비스 표시/선택 UI</x:t>
        </x:is>
      </x:c>
      <x:c r="F74" s="10" t="inlineStr">
        <x:is>
          <x:t xml:space="preserve">공지 작성 시 연계 서비스(이메일/메신저/포탈 등) 선택</x:t>
        </x:is>
      </x:c>
      <x:c r="G74" s="10" t="inlineStr">
        <x:is>
          <x:t xml:space="preserve">복수선택(p9)</x:t>
        </x:is>
      </x:c>
      <x:c r="H74" s="3" t="inlineStr">
        <x:is>
          <x:t xml:space="preserve">8.3</x:t>
        </x:is>
      </x:c>
      <x:c r="I74" s="3" t="inlineStr">
        <x:is>
          <x:t xml:space="preserve">FE</x:t>
        </x:is>
      </x:c>
      <x:c r="J74" s="9" t="inlineStr">
        <x:is>
          <x:t xml:space="preserve">중</x:t>
        </x:is>
      </x:c>
      <x:c r="K74" s="3">
        <x:f>IF($J74="","",VLOOKUP($J74,Assumptions!$A$11:$C$14,2,FALSE))</x:f>
      </x:c>
      <x:c r="L74" s="11">
        <x:f>IF($J74="","",VLOOKUP($J74,Assumptions!$A$11:$C$14,3,FALSE)+Assumptions!$G$11)</x:f>
      </x:c>
      <x:c r="M74" s="3">
        <x:f>IF($K74="","",ROUNDUP($K74*$L74,0))</x:f>
      </x:c>
      <x:c r="N74" s="3">
        <x:f>IF($K74="","",$K74+$M74)</x:f>
      </x:c>
      <x:c r="O74" s="12" t="n"/>
      <x:c r="P74" s="3">
        <x:f>IF($O74="",$N74,$O74)</x:f>
      </x:c>
      <x:c r="Q74" s="13" t="n"/>
      <x:c r="R74" s="3">
        <x:f>IF($Q74="","",ROUND($P74*$Q74,2))</x:f>
      </x:c>
      <x:c r="S74" s="3">
        <x:f>IF($Q74="","",$P74-$R74)</x:f>
      </x:c>
      <x:c r="T74" s="9">
        <x:f>IF($Q74="","미착수",IF($Q74&gt;=1,"완료","진행중"))</x:f>
      </x:c>
      <x:c r="U74" s="14" t="n"/>
      <x:c r="V74" s="15">
        <x:f>IF($U74="","",$U74+$P74-1)</x:f>
      </x:c>
      <x:c r="W74" s="3" t="inlineStr">
        <x:is>
          <x:t xml:space="preserve">채널 선택 UI</x:t>
        </x:is>
      </x:c>
      <x:c r="X74" s="3" t="inlineStr">
        <x:is>
          <x:t xml:space="preserve">p9</x:t>
        </x:is>
      </x:c>
    </x:row>
    <x:row r="75" ht="42" customHeight="1">
      <x:c r="A75" s="9" t="inlineStr">
        <x:is>
          <x:t xml:space="preserve">8.5</x:t>
        </x:is>
      </x:c>
      <x:c r="B75" s="3" t="inlineStr">
        <x:is>
          <x:t xml:space="preserve">확장</x:t>
        </x:is>
      </x:c>
      <x:c r="C75" s="3" t="inlineStr">
        <x:is>
          <x:t xml:space="preserve">알림채널</x:t>
        </x:is>
      </x:c>
      <x:c r="D75" s="3" t="inlineStr">
        <x:is>
          <x:t xml:space="preserve">Connectors</x:t>
        </x:is>
      </x:c>
      <x:c r="E75" s="3" t="inlineStr">
        <x:is>
          <x:t xml:space="preserve">커넥터 Stub 구현(확장 대비)</x:t>
        </x:is>
      </x:c>
      <x:c r="F75" s="10" t="inlineStr">
        <x:is>
          <x:t xml:space="preserve">서비스별 연동 모듈 인터페이스/플러그인 구조</x:t>
        </x:is>
      </x:c>
      <x:c r="G75" s="10" t="inlineStr">
        <x:is>
          <x:t xml:space="preserve">확장성 확보</x:t>
        </x:is>
      </x:c>
      <x:c r="H75" s="3" t="inlineStr">
        <x:is>
          <x:t xml:space="preserve">8.3</x:t>
        </x:is>
      </x:c>
      <x:c r="I75" s="3" t="inlineStr">
        <x:is>
          <x:t xml:space="preserve">BE</x:t>
        </x:is>
      </x:c>
      <x:c r="J75" s="9" t="inlineStr">
        <x:is>
          <x:t xml:space="preserve">중</x:t>
        </x:is>
      </x:c>
      <x:c r="K75" s="3">
        <x:f>IF($J75="","",VLOOKUP($J75,Assumptions!$A$11:$C$14,2,FALSE))</x:f>
      </x:c>
      <x:c r="L75" s="11">
        <x:f>IF($J75="","",VLOOKUP($J75,Assumptions!$A$11:$C$14,3,FALSE)+Assumptions!$G$11)</x:f>
      </x:c>
      <x:c r="M75" s="3">
        <x:f>IF($K75="","",ROUNDUP($K75*$L75,0))</x:f>
      </x:c>
      <x:c r="N75" s="3">
        <x:f>IF($K75="","",$K75+$M75)</x:f>
      </x:c>
      <x:c r="O75" s="12" t="n"/>
      <x:c r="P75" s="3">
        <x:f>IF($O75="",$N75,$O75)</x:f>
      </x:c>
      <x:c r="Q75" s="13" t="n"/>
      <x:c r="R75" s="3">
        <x:f>IF($Q75="","",ROUND($P75*$Q75,2))</x:f>
      </x:c>
      <x:c r="S75" s="3">
        <x:f>IF($Q75="","",$P75-$R75)</x:f>
      </x:c>
      <x:c r="T75" s="9">
        <x:f>IF($Q75="","미착수",IF($Q75&gt;=1,"완료","진행중"))</x:f>
      </x:c>
      <x:c r="U75" s="14" t="n"/>
      <x:c r="V75" s="15">
        <x:f>IF($U75="","",$U75+$P75-1)</x:f>
      </x:c>
      <x:c r="W75" s="3" t="inlineStr">
        <x:is>
          <x:t xml:space="preserve">커넥터 프레임</x:t>
        </x:is>
      </x:c>
      <x:c r="X75" s="3" t="inlineStr">
        <x:is>
          <x:t xml:space="preserve">p9</x:t>
        </x:is>
      </x:c>
    </x:row>
    <x:row r="76" ht="42" customHeight="1">
      <x:c r="A76" s="9" t="inlineStr">
        <x:is>
          <x:t xml:space="preserve">9.1</x:t>
        </x:is>
      </x:c>
      <x:c r="B76" s="3" t="inlineStr">
        <x:is>
          <x:t xml:space="preserve">테스트</x:t>
        </x:is>
      </x:c>
      <x:c r="C76" s="3" t="inlineStr">
        <x:is>
          <x:t xml:space="preserve">품질</x:t>
        </x:is>
      </x:c>
      <x:c r="D76" s="3" t="inlineStr">
        <x:is>
          <x:t xml:space="preserve">Unit</x:t>
        </x:is>
      </x:c>
      <x:c r="E76" s="3" t="inlineStr">
        <x:is>
          <x:t xml:space="preserve">단위 테스트(핵심 로직)</x:t>
        </x:is>
      </x:c>
      <x:c r="F76" s="10" t="inlineStr">
        <x:is>
          <x:t xml:space="preserve">승인 상태 전이, 발송 스케줄링, 수신자 매핑</x:t>
        </x:is>
      </x:c>
      <x:c r="G76" s="10" t="inlineStr">
        <x:is>
          <x:t xml:space="preserve">로직 안정성</x:t>
        </x:is>
      </x:c>
      <x:c r="H76" s="3" t="inlineStr">
        <x:is>
          <x:t xml:space="preserve">5.4</x:t>
        </x:is>
      </x:c>
      <x:c r="I76" s="3" t="inlineStr">
        <x:is>
          <x:t xml:space="preserve">BE</x:t>
        </x:is>
      </x:c>
      <x:c r="J76" s="9" t="inlineStr">
        <x:is>
          <x:t xml:space="preserve">중</x:t>
        </x:is>
      </x:c>
      <x:c r="K76" s="3">
        <x:f>IF($J76="","",VLOOKUP($J76,Assumptions!$A$11:$C$14,2,FALSE))</x:f>
      </x:c>
      <x:c r="L76" s="11">
        <x:f>IF($J76="","",VLOOKUP($J76,Assumptions!$A$11:$C$14,3,FALSE)+Assumptions!$G$11)</x:f>
      </x:c>
      <x:c r="M76" s="3">
        <x:f>IF($K76="","",ROUNDUP($K76*$L76,0))</x:f>
      </x:c>
      <x:c r="N76" s="3">
        <x:f>IF($K76="","",$K76+$M76)</x:f>
      </x:c>
      <x:c r="O76" s="12" t="n"/>
      <x:c r="P76" s="3">
        <x:f>IF($O76="",$N76,$O76)</x:f>
      </x:c>
      <x:c r="Q76" s="13" t="n"/>
      <x:c r="R76" s="3">
        <x:f>IF($Q76="","",ROUND($P76*$Q76,2))</x:f>
      </x:c>
      <x:c r="S76" s="3">
        <x:f>IF($Q76="","",$P76-$R76)</x:f>
      </x:c>
      <x:c r="T76" s="9">
        <x:f>IF($Q76="","미착수",IF($Q76&gt;=1,"완료","진행중"))</x:f>
      </x:c>
      <x:c r="U76" s="14" t="n"/>
      <x:c r="V76" s="15">
        <x:f>IF($U76="","",$U76+$P76-1)</x:f>
      </x:c>
      <x:c r="W76" s="3" t="inlineStr">
        <x:is>
          <x:t xml:space="preserve">단위 테스트</x:t>
        </x:is>
      </x:c>
      <x:c r="X76" s="3" t="inlineStr">
        <x:is>
          <x:t xml:space="preserve">p4-5</x:t>
        </x:is>
      </x:c>
    </x:row>
    <x:row r="77" ht="42" customHeight="1">
      <x:c r="A77" s="9" t="inlineStr">
        <x:is>
          <x:t xml:space="preserve">9.2</x:t>
        </x:is>
      </x:c>
      <x:c r="B77" s="3" t="inlineStr">
        <x:is>
          <x:t xml:space="preserve">테스트</x:t>
        </x:is>
      </x:c>
      <x:c r="C77" s="3" t="inlineStr">
        <x:is>
          <x:t xml:space="preserve">품질</x:t>
        </x:is>
      </x:c>
      <x:c r="D77" s="3" t="inlineStr">
        <x:is>
          <x:t xml:space="preserve">SIT</x:t>
        </x:is>
      </x:c>
      <x:c r="E77" s="3" t="inlineStr">
        <x:is>
          <x:t xml:space="preserve">통합 테스트(SIT)</x:t>
        </x:is>
      </x:c>
      <x:c r="F77" s="10" t="inlineStr">
        <x:is>
          <x:t xml:space="preserve">공지등록→승인→발송→캘린더→로그→대시보드 E2E</x:t>
        </x:is>
      </x:c>
      <x:c r="G77" s="10" t="inlineStr">
        <x:is>
          <x:t xml:space="preserve">핵심 플로우(p2)</x:t>
        </x:is>
      </x:c>
      <x:c r="H77" s="3" t="inlineStr">
        <x:is>
          <x:t xml:space="preserve">6.9</x:t>
        </x:is>
      </x:c>
      <x:c r="I77" s="3" t="inlineStr">
        <x:is>
          <x:t xml:space="preserve">QA</x:t>
        </x:is>
      </x:c>
      <x:c r="J77" s="9" t="inlineStr">
        <x:is>
          <x:t xml:space="preserve">상</x:t>
        </x:is>
      </x:c>
      <x:c r="K77" s="3">
        <x:f>IF($J77="","",VLOOKUP($J77,Assumptions!$A$11:$C$14,2,FALSE))</x:f>
      </x:c>
      <x:c r="L77" s="11">
        <x:f>IF($J77="","",VLOOKUP($J77,Assumptions!$A$11:$C$14,3,FALSE)+Assumptions!$G$11)</x:f>
      </x:c>
      <x:c r="M77" s="3">
        <x:f>IF($K77="","",ROUNDUP($K77*$L77,0))</x:f>
      </x:c>
      <x:c r="N77" s="3">
        <x:f>IF($K77="","",$K77+$M77)</x:f>
      </x:c>
      <x:c r="O77" s="12" t="n"/>
      <x:c r="P77" s="3">
        <x:f>IF($O77="",$N77,$O77)</x:f>
      </x:c>
      <x:c r="Q77" s="13" t="n"/>
      <x:c r="R77" s="3">
        <x:f>IF($Q77="","",ROUND($P77*$Q77,2))</x:f>
      </x:c>
      <x:c r="S77" s="3">
        <x:f>IF($Q77="","",$P77-$R77)</x:f>
      </x:c>
      <x:c r="T77" s="9">
        <x:f>IF($Q77="","미착수",IF($Q77&gt;=1,"완료","진행중"))</x:f>
      </x:c>
      <x:c r="U77" s="14" t="n"/>
      <x:c r="V77" s="15">
        <x:f>IF($U77="","",$U77+$P77-1)</x:f>
      </x:c>
      <x:c r="W77" s="3" t="inlineStr">
        <x:is>
          <x:t xml:space="preserve">SIT 결과서</x:t>
        </x:is>
      </x:c>
      <x:c r="X77" s="3" t="inlineStr">
        <x:is>
          <x:t xml:space="preserve">p2-7</x:t>
        </x:is>
      </x:c>
    </x:row>
    <x:row r="78" ht="42" customHeight="1">
      <x:c r="A78" s="9" t="inlineStr">
        <x:is>
          <x:t xml:space="preserve">9.3</x:t>
        </x:is>
      </x:c>
      <x:c r="B78" s="3" t="inlineStr">
        <x:is>
          <x:t xml:space="preserve">테스트</x:t>
        </x:is>
      </x:c>
      <x:c r="C78" s="3" t="inlineStr">
        <x:is>
          <x:t xml:space="preserve">품질</x:t>
        </x:is>
      </x:c>
      <x:c r="D78" s="3" t="inlineStr">
        <x:is>
          <x:t xml:space="preserve">UAT</x:t>
        </x:is>
      </x:c>
      <x:c r="E78" s="3" t="inlineStr">
        <x:is>
          <x:t xml:space="preserve">사용자 인수 테스트(UAT) 지원</x:t>
        </x:is>
      </x:c>
      <x:c r="F78" s="10" t="inlineStr">
        <x:is>
          <x:t xml:space="preserve">업무부서 시나리오/수용기준 검증, 이슈 반영</x:t>
        </x:is>
      </x:c>
      <x:c r="G78" s="10" t="inlineStr">
        <x:is>
          <x:t xml:space="preserve">업무 승인</x:t>
        </x:is>
      </x:c>
      <x:c r="H78" s="3" t="inlineStr">
        <x:is>
          <x:t xml:space="preserve">9.2</x:t>
        </x:is>
      </x:c>
      <x:c r="I78" s="3" t="inlineStr">
        <x:is>
          <x:t xml:space="preserve">QA/PM</x:t>
        </x:is>
      </x:c>
      <x:c r="J78" s="9" t="inlineStr">
        <x:is>
          <x:t xml:space="preserve">상</x:t>
        </x:is>
      </x:c>
      <x:c r="K78" s="3">
        <x:f>IF($J78="","",VLOOKUP($J78,Assumptions!$A$11:$C$14,2,FALSE))</x:f>
      </x:c>
      <x:c r="L78" s="11">
        <x:f>IF($J78="","",VLOOKUP($J78,Assumptions!$A$11:$C$14,3,FALSE)+Assumptions!$G$11)</x:f>
      </x:c>
      <x:c r="M78" s="3">
        <x:f>IF($K78="","",ROUNDUP($K78*$L78,0))</x:f>
      </x:c>
      <x:c r="N78" s="3">
        <x:f>IF($K78="","",$K78+$M78)</x:f>
      </x:c>
      <x:c r="O78" s="12" t="n"/>
      <x:c r="P78" s="3">
        <x:f>IF($O78="",$N78,$O78)</x:f>
      </x:c>
      <x:c r="Q78" s="13" t="n"/>
      <x:c r="R78" s="3">
        <x:f>IF($Q78="","",ROUND($P78*$Q78,2))</x:f>
      </x:c>
      <x:c r="S78" s="3">
        <x:f>IF($Q78="","",$P78-$R78)</x:f>
      </x:c>
      <x:c r="T78" s="9">
        <x:f>IF($Q78="","미착수",IF($Q78&gt;=1,"완료","진행중"))</x:f>
      </x:c>
      <x:c r="U78" s="14" t="n"/>
      <x:c r="V78" s="15">
        <x:f>IF($U78="","",$U78+$P78-1)</x:f>
      </x:c>
      <x:c r="W78" s="3" t="inlineStr">
        <x:is>
          <x:t xml:space="preserve">UAT 결과/서명</x:t>
        </x:is>
      </x:c>
      <x:c r="X78" s="3" t="inlineStr">
        <x:is>
          <x:t xml:space="preserve">p2</x:t>
        </x:is>
      </x:c>
    </x:row>
    <x:row r="79" ht="42" customHeight="1">
      <x:c r="A79" s="9" t="inlineStr">
        <x:is>
          <x:t xml:space="preserve">9.4</x:t>
        </x:is>
      </x:c>
      <x:c r="B79" s="3" t="inlineStr">
        <x:is>
          <x:t xml:space="preserve">테스트</x:t>
        </x:is>
      </x:c>
      <x:c r="C79" s="3" t="inlineStr">
        <x:is>
          <x:t xml:space="preserve">보안</x:t>
        </x:is>
      </x:c>
      <x:c r="D79" s="3" t="inlineStr">
        <x:is>
          <x:t xml:space="preserve">Security</x:t>
        </x:is>
      </x:c>
      <x:c r="E79" s="3" t="inlineStr">
        <x:is>
          <x:t xml:space="preserve">보안 점검(권한/감사/비밀관리)</x:t>
        </x:is>
      </x:c>
      <x:c r="F79" s="10" t="inlineStr">
        <x:is>
          <x:t xml:space="preserve">Secret 보관, 접근제어, 로그 마스킹, 권한 검증</x:t>
        </x:is>
      </x:c>
      <x:c r="G79" s="10" t="inlineStr">
        <x:is>
          <x:t xml:space="preserve">NFR</x:t>
        </x:is>
      </x:c>
      <x:c r="H79" s="3" t="inlineStr">
        <x:is>
          <x:t xml:space="preserve">6.2</x:t>
        </x:is>
      </x:c>
      <x:c r="I79" s="3" t="inlineStr">
        <x:is>
          <x:t xml:space="preserve">보안/Infra</x:t>
        </x:is>
      </x:c>
      <x:c r="J79" s="9" t="inlineStr">
        <x:is>
          <x:t xml:space="preserve">상</x:t>
        </x:is>
      </x:c>
      <x:c r="K79" s="3">
        <x:f>IF($J79="","",VLOOKUP($J79,Assumptions!$A$11:$C$14,2,FALSE))</x:f>
      </x:c>
      <x:c r="L79" s="11">
        <x:f>IF($J79="","",VLOOKUP($J79,Assumptions!$A$11:$C$14,3,FALSE)+Assumptions!$G$11)</x:f>
      </x:c>
      <x:c r="M79" s="3">
        <x:f>IF($K79="","",ROUNDUP($K79*$L79,0))</x:f>
      </x:c>
      <x:c r="N79" s="3">
        <x:f>IF($K79="","",$K79+$M79)</x:f>
      </x:c>
      <x:c r="O79" s="12" t="n"/>
      <x:c r="P79" s="3">
        <x:f>IF($O79="",$N79,$O79)</x:f>
      </x:c>
      <x:c r="Q79" s="13" t="n"/>
      <x:c r="R79" s="3">
        <x:f>IF($Q79="","",ROUND($P79*$Q79,2))</x:f>
      </x:c>
      <x:c r="S79" s="3">
        <x:f>IF($Q79="","",$P79-$R79)</x:f>
      </x:c>
      <x:c r="T79" s="9">
        <x:f>IF($Q79="","미착수",IF($Q79&gt;=1,"완료","진행중"))</x:f>
      </x:c>
      <x:c r="U79" s="14" t="n"/>
      <x:c r="V79" s="15">
        <x:f>IF($U79="","",$U79+$P79-1)</x:f>
      </x:c>
      <x:c r="W79" s="3" t="inlineStr">
        <x:is>
          <x:t xml:space="preserve">보안 점검 결과</x:t>
        </x:is>
      </x:c>
      <x:c r="X79" s="3" t="inlineStr">
        <x:is>
          <x:t xml:space="preserve">p5</x:t>
        </x:is>
      </x:c>
    </x:row>
    <x:row r="80" ht="42" customHeight="1">
      <x:c r="A80" s="9" t="inlineStr">
        <x:is>
          <x:t xml:space="preserve">9.5</x:t>
        </x:is>
      </x:c>
      <x:c r="B80" s="3" t="inlineStr">
        <x:is>
          <x:t xml:space="preserve">테스트</x:t>
        </x:is>
      </x:c>
      <x:c r="C80" s="3" t="inlineStr">
        <x:is>
          <x:t xml:space="preserve">성능</x:t>
        </x:is>
      </x:c>
      <x:c r="D80" s="3" t="inlineStr">
        <x:is>
          <x:t xml:space="preserve">Perf</x:t>
        </x:is>
      </x:c>
      <x:c r="E80" s="3" t="inlineStr">
        <x:is>
          <x:t xml:space="preserve">발송 성능/부하 테스트(선택)</x:t>
        </x:is>
      </x:c>
      <x:c r="F80" s="10" t="inlineStr">
        <x:is>
          <x:t xml:space="preserve">정기발송 시 다수 공지 묶음 처리 성능 검증</x:t>
        </x:is>
      </x:c>
      <x:c r="G80" s="10" t="inlineStr">
        <x:is>
          <x:t xml:space="preserve">대량 발송 리스크</x:t>
        </x:is>
      </x:c>
      <x:c r="H80" s="3" t="inlineStr">
        <x:is>
          <x:t xml:space="preserve">5.6</x:t>
        </x:is>
      </x:c>
      <x:c r="I80" s="3" t="inlineStr">
        <x:is>
          <x:t xml:space="preserve">QA/BE</x:t>
        </x:is>
      </x:c>
      <x:c r="J80" s="9" t="inlineStr">
        <x:is>
          <x:t xml:space="preserve">중</x:t>
        </x:is>
      </x:c>
      <x:c r="K80" s="3">
        <x:f>IF($J80="","",VLOOKUP($J80,Assumptions!$A$11:$C$14,2,FALSE))</x:f>
      </x:c>
      <x:c r="L80" s="11">
        <x:f>IF($J80="","",VLOOKUP($J80,Assumptions!$A$11:$C$14,3,FALSE)+Assumptions!$G$11)</x:f>
      </x:c>
      <x:c r="M80" s="3">
        <x:f>IF($K80="","",ROUNDUP($K80*$L80,0))</x:f>
      </x:c>
      <x:c r="N80" s="3">
        <x:f>IF($K80="","",$K80+$M80)</x:f>
      </x:c>
      <x:c r="O80" s="12" t="n"/>
      <x:c r="P80" s="3">
        <x:f>IF($O80="",$N80,$O80)</x:f>
      </x:c>
      <x:c r="Q80" s="13" t="n"/>
      <x:c r="R80" s="3">
        <x:f>IF($Q80="","",ROUND($P80*$Q80,2))</x:f>
      </x:c>
      <x:c r="S80" s="3">
        <x:f>IF($Q80="","",$P80-$R80)</x:f>
      </x:c>
      <x:c r="T80" s="9">
        <x:f>IF($Q80="","미착수",IF($Q80&gt;=1,"완료","진행중"))</x:f>
      </x:c>
      <x:c r="U80" s="14" t="n"/>
      <x:c r="V80" s="15">
        <x:f>IF($U80="","",$U80+$P80-1)</x:f>
      </x:c>
      <x:c r="W80" s="3" t="inlineStr">
        <x:is>
          <x:t xml:space="preserve">성능 결과서</x:t>
        </x:is>
      </x:c>
      <x:c r="X80" s="3" t="inlineStr">
        <x:is>
          <x:t xml:space="preserve">p4</x:t>
        </x:is>
      </x:c>
    </x:row>
    <x:row r="81" ht="42" customHeight="1">
      <x:c r="A81" s="9" t="inlineStr">
        <x:is>
          <x:t xml:space="preserve">9.6</x:t>
        </x:is>
      </x:c>
      <x:c r="B81" s="3" t="inlineStr">
        <x:is>
          <x:t xml:space="preserve">테스트</x:t>
        </x:is>
      </x:c>
      <x:c r="C81" s="3" t="inlineStr">
        <x:is>
          <x:t xml:space="preserve">안정화</x:t>
        </x:is>
      </x:c>
      <x:c r="D81" s="3" t="inlineStr">
        <x:is>
          <x:t xml:space="preserve">Bugfix</x:t>
        </x:is>
      </x:c>
      <x:c r="E81" s="3" t="inlineStr">
        <x:is>
          <x:t xml:space="preserve">버그 수정/회귀 테스트</x:t>
        </x:is>
      </x:c>
      <x:c r="F81" s="10" t="inlineStr">
        <x:is>
          <x:t xml:space="preserve">테스트 이슈 반영, 회귀 테스트 반복</x:t>
        </x:is>
      </x:c>
      <x:c r="G81" s="10" t="inlineStr">
        <x:is>
          <x:t xml:space="preserve">오픈 전 필수</x:t>
        </x:is>
      </x:c>
      <x:c r="H81" s="3" t="inlineStr">
        <x:is>
          <x:t xml:space="preserve">9.2</x:t>
        </x:is>
      </x:c>
      <x:c r="I81" s="3" t="inlineStr">
        <x:is>
          <x:t xml:space="preserve">FE/BE/QA</x:t>
        </x:is>
      </x:c>
      <x:c r="J81" s="9" t="inlineStr">
        <x:is>
          <x:t xml:space="preserve">상</x:t>
        </x:is>
      </x:c>
      <x:c r="K81" s="3">
        <x:f>IF($J81="","",VLOOKUP($J81,Assumptions!$A$11:$C$14,2,FALSE))</x:f>
      </x:c>
      <x:c r="L81" s="11">
        <x:f>IF($J81="","",VLOOKUP($J81,Assumptions!$A$11:$C$14,3,FALSE)+Assumptions!$G$11)</x:f>
      </x:c>
      <x:c r="M81" s="3">
        <x:f>IF($K81="","",ROUNDUP($K81*$L81,0))</x:f>
      </x:c>
      <x:c r="N81" s="3">
        <x:f>IF($K81="","",$K81+$M81)</x:f>
      </x:c>
      <x:c r="O81" s="12" t="n"/>
      <x:c r="P81" s="3">
        <x:f>IF($O81="",$N81,$O81)</x:f>
      </x:c>
      <x:c r="Q81" s="13" t="n"/>
      <x:c r="R81" s="3">
        <x:f>IF($Q81="","",ROUND($P81*$Q81,2))</x:f>
      </x:c>
      <x:c r="S81" s="3">
        <x:f>IF($Q81="","",$P81-$R81)</x:f>
      </x:c>
      <x:c r="T81" s="9">
        <x:f>IF($Q81="","미착수",IF($Q81&gt;=1,"완료","진행중"))</x:f>
      </x:c>
      <x:c r="U81" s="14" t="n"/>
      <x:c r="V81" s="15">
        <x:f>IF($U81="","",$U81+$P81-1)</x:f>
      </x:c>
      <x:c r="W81" s="3" t="inlineStr">
        <x:is>
          <x:t xml:space="preserve">버그 리스트/수정내역</x:t>
        </x:is>
      </x:c>
      <x:c r="X81" s="3" t="inlineStr">
        <x:is>
          <x:t xml:space="preserve">p2</x:t>
        </x:is>
      </x:c>
    </x:row>
    <x:row r="82" ht="42" customHeight="1">
      <x:c r="A82" s="9" t="inlineStr">
        <x:is>
          <x:t xml:space="preserve">10.1</x:t>
        </x:is>
      </x:c>
      <x:c r="B82" s="3" t="inlineStr">
        <x:is>
          <x:t xml:space="preserve">배포/전환</x:t>
        </x:is>
      </x:c>
      <x:c r="C82" s="3" t="inlineStr">
        <x:is>
          <x:t xml:space="preserve">운영</x:t>
        </x:is>
      </x:c>
      <x:c r="D82" s="3" t="inlineStr">
        <x:is>
          <x:t xml:space="preserve">Deploy</x:t>
        </x:is>
      </x:c>
      <x:c r="E82" s="3" t="inlineStr">
        <x:is>
          <x:t xml:space="preserve">배포 자동화/릴리즈 절차 구축</x:t>
        </x:is>
      </x:c>
      <x:c r="F82" s="10" t="inlineStr">
        <x:is>
          <x:t xml:space="preserve">빌드/배포 파이프라인, 롤백 절차</x:t>
        </x:is>
      </x:c>
      <x:c r="G82" s="10" t="inlineStr">
        <x:is>
          <x:t xml:space="preserve">운영 반영</x:t>
        </x:is>
      </x:c>
      <x:c r="H82" s="3" t="inlineStr">
        <x:is>
          <x:t xml:space="preserve">4.1</x:t>
        </x:is>
      </x:c>
      <x:c r="I82" s="3" t="inlineStr">
        <x:is>
          <x:t xml:space="preserve">Infra</x:t>
        </x:is>
      </x:c>
      <x:c r="J82" s="9" t="inlineStr">
        <x:is>
          <x:t xml:space="preserve">중</x:t>
        </x:is>
      </x:c>
      <x:c r="K82" s="3">
        <x:f>IF($J82="","",VLOOKUP($J82,Assumptions!$A$11:$C$14,2,FALSE))</x:f>
      </x:c>
      <x:c r="L82" s="11">
        <x:f>IF($J82="","",VLOOKUP($J82,Assumptions!$A$11:$C$14,3,FALSE)+Assumptions!$G$11)</x:f>
      </x:c>
      <x:c r="M82" s="3">
        <x:f>IF($K82="","",ROUNDUP($K82*$L82,0))</x:f>
      </x:c>
      <x:c r="N82" s="3">
        <x:f>IF($K82="","",$K82+$M82)</x:f>
      </x:c>
      <x:c r="O82" s="12" t="n"/>
      <x:c r="P82" s="3">
        <x:f>IF($O82="",$N82,$O82)</x:f>
      </x:c>
      <x:c r="Q82" s="13" t="n"/>
      <x:c r="R82" s="3">
        <x:f>IF($Q82="","",ROUND($P82*$Q82,2))</x:f>
      </x:c>
      <x:c r="S82" s="3">
        <x:f>IF($Q82="","",$P82-$R82)</x:f>
      </x:c>
      <x:c r="T82" s="9">
        <x:f>IF($Q82="","미착수",IF($Q82&gt;=1,"완료","진행중"))</x:f>
      </x:c>
      <x:c r="U82" s="14" t="n"/>
      <x:c r="V82" s="15">
        <x:f>IF($U82="","",$U82+$P82-1)</x:f>
      </x:c>
      <x:c r="W82" s="3" t="inlineStr">
        <x:is>
          <x:t xml:space="preserve">배포 절차서</x:t>
        </x:is>
      </x:c>
      <x:c r="X82" s="3" t="inlineStr">
        <x:is>
          <x:t xml:space="preserve">p2</x:t>
        </x:is>
      </x:c>
    </x:row>
    <x:row r="83" ht="42" customHeight="1">
      <x:c r="A83" s="9" t="inlineStr">
        <x:is>
          <x:t xml:space="preserve">10.2</x:t>
        </x:is>
      </x:c>
      <x:c r="B83" s="3" t="inlineStr">
        <x:is>
          <x:t xml:space="preserve">배포/전환</x:t>
        </x:is>
      </x:c>
      <x:c r="C83" s="3" t="inlineStr">
        <x:is>
          <x:t xml:space="preserve">운영</x:t>
        </x:is>
      </x:c>
      <x:c r="D83" s="3" t="inlineStr">
        <x:is>
          <x:t xml:space="preserve">Config</x:t>
        </x:is>
      </x:c>
      <x:c r="E83" s="3" t="inlineStr">
        <x:is>
          <x:t xml:space="preserve">운영 설정(자원/계정/발송시간) 적용</x:t>
        </x:is>
      </x:c>
      <x:c r="F83" s="10" t="inlineStr">
        <x:is>
          <x:t xml:space="preserve">법인별 자원 매핑, 발송시간, 권한 설정</x:t>
        </x:is>
      </x:c>
      <x:c r="G83" s="10" t="inlineStr">
        <x:is>
          <x:t xml:space="preserve">자원 설정 필요</x:t>
        </x:is>
      </x:c>
      <x:c r="H83" s="3" t="inlineStr">
        <x:is>
          <x:t xml:space="preserve">6.4</x:t>
        </x:is>
      </x:c>
      <x:c r="I83" s="3" t="inlineStr">
        <x:is>
          <x:t xml:space="preserve">Infra/BE</x:t>
        </x:is>
      </x:c>
      <x:c r="J83" s="9" t="inlineStr">
        <x:is>
          <x:t xml:space="preserve">상</x:t>
        </x:is>
      </x:c>
      <x:c r="K83" s="3">
        <x:f>IF($J83="","",VLOOKUP($J83,Assumptions!$A$11:$C$14,2,FALSE))</x:f>
      </x:c>
      <x:c r="L83" s="11">
        <x:f>IF($J83="","",VLOOKUP($J83,Assumptions!$A$11:$C$14,3,FALSE)+Assumptions!$G$11)</x:f>
      </x:c>
      <x:c r="M83" s="3">
        <x:f>IF($K83="","",ROUNDUP($K83*$L83,0))</x:f>
      </x:c>
      <x:c r="N83" s="3">
        <x:f>IF($K83="","",$K83+$M83)</x:f>
      </x:c>
      <x:c r="O83" s="12" t="n"/>
      <x:c r="P83" s="3">
        <x:f>IF($O83="",$N83,$O83)</x:f>
      </x:c>
      <x:c r="Q83" s="13" t="n"/>
      <x:c r="R83" s="3">
        <x:f>IF($Q83="","",ROUND($P83*$Q83,2))</x:f>
      </x:c>
      <x:c r="S83" s="3">
        <x:f>IF($Q83="","",$P83-$R83)</x:f>
      </x:c>
      <x:c r="T83" s="9">
        <x:f>IF($Q83="","미착수",IF($Q83&gt;=1,"완료","진행중"))</x:f>
      </x:c>
      <x:c r="U83" s="14" t="n"/>
      <x:c r="V83" s="15">
        <x:f>IF($U83="","",$U83+$P83-1)</x:f>
      </x:c>
      <x:c r="W83" s="3" t="inlineStr">
        <x:is>
          <x:t xml:space="preserve">운영 설정값</x:t>
        </x:is>
      </x:c>
      <x:c r="X83" s="3" t="inlineStr">
        <x:is>
          <x:t xml:space="preserve">p2-4</x:t>
        </x:is>
      </x:c>
    </x:row>
    <x:row r="84" ht="42" customHeight="1">
      <x:c r="A84" s="9" t="inlineStr">
        <x:is>
          <x:t xml:space="preserve">10.3</x:t>
        </x:is>
      </x:c>
      <x:c r="B84" s="3" t="inlineStr">
        <x:is>
          <x:t xml:space="preserve">배포/전환</x:t>
        </x:is>
      </x:c>
      <x:c r="C84" s="3" t="inlineStr">
        <x:is>
          <x:t xml:space="preserve">운영</x:t>
        </x:is>
      </x:c>
      <x:c r="D84" s="3" t="inlineStr">
        <x:is>
          <x:t xml:space="preserve">Seed</x:t>
        </x:is>
      </x:c>
      <x:c r="E84" s="3" t="inlineStr">
        <x:is>
          <x:t xml:space="preserve">초기 데이터 적재(법인/부서/서비스)</x:t>
        </x:is>
      </x:c>
      <x:c r="F84" s="10" t="inlineStr">
        <x:is>
          <x:t xml:space="preserve">마스터 데이터 적재 및 검증</x:t>
        </x:is>
      </x:c>
      <x:c r="G84" s="10" t="inlineStr">
        <x:is>
          <x:t xml:space="preserve">필수 데이터</x:t>
        </x:is>
      </x:c>
      <x:c r="H84" s="3" t="inlineStr">
        <x:is>
          <x:t xml:space="preserve">4.3</x:t>
        </x:is>
      </x:c>
      <x:c r="I84" s="3" t="inlineStr">
        <x:is>
          <x:t xml:space="preserve">BE/DBA</x:t>
        </x:is>
      </x:c>
      <x:c r="J84" s="9" t="inlineStr">
        <x:is>
          <x:t xml:space="preserve">중</x:t>
        </x:is>
      </x:c>
      <x:c r="K84" s="3">
        <x:f>IF($J84="","",VLOOKUP($J84,Assumptions!$A$11:$C$14,2,FALSE))</x:f>
      </x:c>
      <x:c r="L84" s="11">
        <x:f>IF($J84="","",VLOOKUP($J84,Assumptions!$A$11:$C$14,3,FALSE)+Assumptions!$G$11)</x:f>
      </x:c>
      <x:c r="M84" s="3">
        <x:f>IF($K84="","",ROUNDUP($K84*$L84,0))</x:f>
      </x:c>
      <x:c r="N84" s="3">
        <x:f>IF($K84="","",$K84+$M84)</x:f>
      </x:c>
      <x:c r="O84" s="12" t="n"/>
      <x:c r="P84" s="3">
        <x:f>IF($O84="",$N84,$O84)</x:f>
      </x:c>
      <x:c r="Q84" s="13" t="n"/>
      <x:c r="R84" s="3">
        <x:f>IF($Q84="","",ROUND($P84*$Q84,2))</x:f>
      </x:c>
      <x:c r="S84" s="3">
        <x:f>IF($Q84="","",$P84-$R84)</x:f>
      </x:c>
      <x:c r="T84" s="9">
        <x:f>IF($Q84="","미착수",IF($Q84&gt;=1,"완료","진행중"))</x:f>
      </x:c>
      <x:c r="U84" s="14" t="n"/>
      <x:c r="V84" s="15">
        <x:f>IF($U84="","",$U84+$P84-1)</x:f>
      </x:c>
      <x:c r="W84" s="3" t="inlineStr">
        <x:is>
          <x:t xml:space="preserve">초기 데이터</x:t>
        </x:is>
      </x:c>
      <x:c r="X84" s="3" t="inlineStr">
        <x:is>
          <x:t xml:space="preserve">p4</x:t>
        </x:is>
      </x:c>
    </x:row>
    <x:row r="85" ht="42" customHeight="1">
      <x:c r="A85" s="9" t="inlineStr">
        <x:is>
          <x:t xml:space="preserve">10.4</x:t>
        </x:is>
      </x:c>
      <x:c r="B85" s="3" t="inlineStr">
        <x:is>
          <x:t xml:space="preserve">배포/전환</x:t>
        </x:is>
      </x:c>
      <x:c r="C85" s="3" t="inlineStr">
        <x:is>
          <x:t xml:space="preserve">문서</x:t>
        </x:is>
      </x:c>
      <x:c r="D85" s="3" t="inlineStr">
        <x:is>
          <x:t xml:space="preserve">Docs</x:t>
        </x:is>
      </x:c>
      <x:c r="E85" s="3" t="inlineStr">
        <x:is>
          <x:t xml:space="preserve">사용자 가이드/운영자 매뉴얼 작성</x:t>
        </x:is>
      </x:c>
      <x:c r="F85" s="10" t="inlineStr">
        <x:is>
          <x:t xml:space="preserve">공지 작성/승인/조회/대시보드 사용법 + 운영 절차</x:t>
        </x:is>
      </x:c>
      <x:c r="G85" s="10" t="inlineStr">
        <x:is>
          <x:t xml:space="preserve">정착 필요</x:t>
        </x:is>
      </x:c>
      <x:c r="H85" s="3" t="inlineStr">
        <x:is>
          <x:t xml:space="preserve">9.3</x:t>
        </x:is>
      </x:c>
      <x:c r="I85" s="3" t="inlineStr">
        <x:is>
          <x:t xml:space="preserve">PM/기획</x:t>
        </x:is>
      </x:c>
      <x:c r="J85" s="9" t="inlineStr">
        <x:is>
          <x:t xml:space="preserve">중</x:t>
        </x:is>
      </x:c>
      <x:c r="K85" s="3">
        <x:f>IF($J85="","",VLOOKUP($J85,Assumptions!$A$11:$C$14,2,FALSE))</x:f>
      </x:c>
      <x:c r="L85" s="11">
        <x:f>IF($J85="","",VLOOKUP($J85,Assumptions!$A$11:$C$14,3,FALSE)+Assumptions!$G$11)</x:f>
      </x:c>
      <x:c r="M85" s="3">
        <x:f>IF($K85="","",ROUNDUP($K85*$L85,0))</x:f>
      </x:c>
      <x:c r="N85" s="3">
        <x:f>IF($K85="","",$K85+$M85)</x:f>
      </x:c>
      <x:c r="O85" s="12" t="n"/>
      <x:c r="P85" s="3">
        <x:f>IF($O85="",$N85,$O85)</x:f>
      </x:c>
      <x:c r="Q85" s="13" t="n"/>
      <x:c r="R85" s="3">
        <x:f>IF($Q85="","",ROUND($P85*$Q85,2))</x:f>
      </x:c>
      <x:c r="S85" s="3">
        <x:f>IF($Q85="","",$P85-$R85)</x:f>
      </x:c>
      <x:c r="T85" s="9">
        <x:f>IF($Q85="","미착수",IF($Q85&gt;=1,"완료","진행중"))</x:f>
      </x:c>
      <x:c r="U85" s="14" t="n"/>
      <x:c r="V85" s="15">
        <x:f>IF($U85="","",$U85+$P85-1)</x:f>
      </x:c>
      <x:c r="W85" s="3" t="inlineStr">
        <x:is>
          <x:t xml:space="preserve">가이드/매뉴얼</x:t>
        </x:is>
      </x:c>
      <x:c r="X85" s="3" t="inlineStr">
        <x:is>
          <x:t xml:space="preserve">p2</x:t>
        </x:is>
      </x:c>
    </x:row>
    <x:row r="86" ht="42" customHeight="1">
      <x:c r="A86" s="9" t="inlineStr">
        <x:is>
          <x:t xml:space="preserve">10.5</x:t>
        </x:is>
      </x:c>
      <x:c r="B86" s="3" t="inlineStr">
        <x:is>
          <x:t xml:space="preserve">배포/전환</x:t>
        </x:is>
      </x:c>
      <x:c r="C86" s="3" t="inlineStr">
        <x:is>
          <x:t xml:space="preserve">교육</x:t>
        </x:is>
      </x:c>
      <x:c r="D86" s="3" t="inlineStr">
        <x:is>
          <x:t xml:space="preserve">Training</x:t>
        </x:is>
      </x:c>
      <x:c r="E86" s="3" t="inlineStr">
        <x:is>
          <x:t xml:space="preserve">교육/전파(작성자·승인자·운영자)</x:t>
        </x:is>
      </x:c>
      <x:c r="F86" s="10" t="inlineStr">
        <x:is>
          <x:t xml:space="preserve">사용 방법 교육, Q&amp;A</x:t>
        </x:is>
      </x:c>
      <x:c r="G86" s="10" t="inlineStr">
        <x:is>
          <x:t xml:space="preserve">정착</x:t>
        </x:is>
      </x:c>
      <x:c r="H86" s="3" t="inlineStr">
        <x:is>
          <x:t xml:space="preserve">10.4</x:t>
        </x:is>
      </x:c>
      <x:c r="I86" s="3" t="inlineStr">
        <x:is>
          <x:t xml:space="preserve">PM/기획</x:t>
        </x:is>
      </x:c>
      <x:c r="J86" s="9" t="inlineStr">
        <x:is>
          <x:t xml:space="preserve">하</x:t>
        </x:is>
      </x:c>
      <x:c r="K86" s="3">
        <x:f>IF($J86="","",VLOOKUP($J86,Assumptions!$A$11:$C$14,2,FALSE))</x:f>
      </x:c>
      <x:c r="L86" s="11">
        <x:f>IF($J86="","",VLOOKUP($J86,Assumptions!$A$11:$C$14,3,FALSE)+Assumptions!$G$11)</x:f>
      </x:c>
      <x:c r="M86" s="3">
        <x:f>IF($K86="","",ROUNDUP($K86*$L86,0))</x:f>
      </x:c>
      <x:c r="N86" s="3">
        <x:f>IF($K86="","",$K86+$M86)</x:f>
      </x:c>
      <x:c r="O86" s="12" t="n"/>
      <x:c r="P86" s="3">
        <x:f>IF($O86="",$N86,$O86)</x:f>
      </x:c>
      <x:c r="Q86" s="13" t="n"/>
      <x:c r="R86" s="3">
        <x:f>IF($Q86="","",ROUND($P86*$Q86,2))</x:f>
      </x:c>
      <x:c r="S86" s="3">
        <x:f>IF($Q86="","",$P86-$R86)</x:f>
      </x:c>
      <x:c r="T86" s="9">
        <x:f>IF($Q86="","미착수",IF($Q86&gt;=1,"완료","진행중"))</x:f>
      </x:c>
      <x:c r="U86" s="14" t="n"/>
      <x:c r="V86" s="15">
        <x:f>IF($U86="","",$U86+$P86-1)</x:f>
      </x:c>
      <x:c r="W86" s="3" t="inlineStr">
        <x:is>
          <x:t xml:space="preserve">교육자료</x:t>
        </x:is>
      </x:c>
      <x:c r="X86" s="3" t="inlineStr">
        <x:is>
          <x:t xml:space="preserve">p2</x:t>
        </x:is>
      </x:c>
    </x:row>
    <x:row r="87" ht="42" customHeight="1">
      <x:c r="A87" s="9" t="inlineStr">
        <x:is>
          <x:t xml:space="preserve">10.6</x:t>
        </x:is>
      </x:c>
      <x:c r="B87" s="3" t="inlineStr">
        <x:is>
          <x:t xml:space="preserve">배포/전환</x:t>
        </x:is>
      </x:c>
      <x:c r="C87" s="3" t="inlineStr">
        <x:is>
          <x:t xml:space="preserve">오픈</x:t>
        </x:is>
      </x:c>
      <x:c r="D87" s="3" t="inlineStr">
        <x:is>
          <x:t xml:space="preserve">Go-live</x:t>
        </x:is>
      </x:c>
      <x:c r="E87" s="3" t="inlineStr">
        <x:is>
          <x:t xml:space="preserve">오픈/모니터링(초기 안정화)</x:t>
        </x:is>
      </x:c>
      <x:c r="F87" s="10" t="inlineStr">
        <x:is>
          <x:t xml:space="preserve">오픈, 발송 모니터링, 장애 대응</x:t>
        </x:is>
      </x:c>
      <x:c r="G87" s="10" t="inlineStr">
        <x:is>
          <x:t xml:space="preserve">안정화</x:t>
        </x:is>
      </x:c>
      <x:c r="H87" s="3" t="inlineStr">
        <x:is>
          <x:t xml:space="preserve">10.2</x:t>
        </x:is>
      </x:c>
      <x:c r="I87" s="3" t="inlineStr">
        <x:is>
          <x:t xml:space="preserve">전원</x:t>
        </x:is>
      </x:c>
      <x:c r="J87" s="9" t="inlineStr">
        <x:is>
          <x:t xml:space="preserve">상</x:t>
        </x:is>
      </x:c>
      <x:c r="K87" s="3">
        <x:f>IF($J87="","",VLOOKUP($J87,Assumptions!$A$11:$C$14,2,FALSE))</x:f>
      </x:c>
      <x:c r="L87" s="11">
        <x:f>IF($J87="","",VLOOKUP($J87,Assumptions!$A$11:$C$14,3,FALSE)+Assumptions!$G$11)</x:f>
      </x:c>
      <x:c r="M87" s="3">
        <x:f>IF($K87="","",ROUNDUP($K87*$L87,0))</x:f>
      </x:c>
      <x:c r="N87" s="3">
        <x:f>IF($K87="","",$K87+$M87)</x:f>
      </x:c>
      <x:c r="O87" s="12" t="n"/>
      <x:c r="P87" s="3">
        <x:f>IF($O87="",$N87,$O87)</x:f>
      </x:c>
      <x:c r="Q87" s="13" t="n"/>
      <x:c r="R87" s="3">
        <x:f>IF($Q87="","",ROUND($P87*$Q87,2))</x:f>
      </x:c>
      <x:c r="S87" s="3">
        <x:f>IF($Q87="","",$P87-$R87)</x:f>
      </x:c>
      <x:c r="T87" s="9">
        <x:f>IF($Q87="","미착수",IF($Q87&gt;=1,"완료","진행중"))</x:f>
      </x:c>
      <x:c r="U87" s="14" t="n"/>
      <x:c r="V87" s="15">
        <x:f>IF($U87="","",$U87+$P87-1)</x:f>
      </x:c>
      <x:c r="W87" s="3" t="inlineStr">
        <x:is>
          <x:t xml:space="preserve">오픈 체크리스트/일지</x:t>
        </x:is>
      </x:c>
      <x:c r="X87" s="3" t="inlineStr">
        <x:is>
          <x:t xml:space="preserve">p2</x:t>
        </x:is>
      </x:c>
    </x:row>
    <x:row r="88" ht="42" customHeight="1">
      <x:c r="A88" s="9" t="inlineStr">
        <x:is>
          <x:t xml:space="preserve">4.5.1</x:t>
        </x:is>
      </x:c>
      <x:c r="B88" s="3" t="inlineStr">
        <x:is>
          <x:t xml:space="preserve">개발</x:t>
        </x:is>
      </x:c>
      <x:c r="C88" s="3" t="inlineStr">
        <x:is>
          <x:t xml:space="preserve">공지</x:t>
        </x:is>
      </x:c>
      <x:c r="D88" s="3" t="inlineStr">
        <x:is>
          <x:t xml:space="preserve">Notice UI</x:t>
        </x:is>
      </x:c>
      <x:c r="E88" s="3" t="inlineStr">
        <x:is>
          <x:t xml:space="preserve">입력값 검증/UX(필수/길이/형식)</x:t>
        </x:is>
      </x:c>
      <x:c r="F88" s="10" t="inlineStr">
        <x:is>
          <x:t xml:space="preserve">필수항목(*) 검증, 날짜/시간 포맷, 오류 메시지</x:t>
        </x:is>
      </x:c>
      <x:c r="G88" s="10" t="inlineStr">
        <x:is>
          <x:t xml:space="preserve">입력항목(*) 다수(p4)</x:t>
        </x:is>
      </x:c>
      <x:c r="H88" s="3" t="inlineStr">
        <x:is>
          <x:t xml:space="preserve">4.5</x:t>
        </x:is>
      </x:c>
      <x:c r="I88" s="3" t="inlineStr">
        <x:is>
          <x:t xml:space="preserve">FE</x:t>
        </x:is>
      </x:c>
      <x:c r="J88" s="9" t="inlineStr">
        <x:is>
          <x:t xml:space="preserve">중</x:t>
        </x:is>
      </x:c>
      <x:c r="K88" s="3">
        <x:f>IF($J88="","",VLOOKUP($J88,Assumptions!$A$11:$C$14,2,FALSE))</x:f>
      </x:c>
      <x:c r="L88" s="11">
        <x:f>IF($J88="","",VLOOKUP($J88,Assumptions!$A$11:$C$14,3,FALSE)+Assumptions!$G$11)</x:f>
      </x:c>
      <x:c r="M88" s="3">
        <x:f>IF($K88="","",ROUNDUP($K88*$L88,0))</x:f>
      </x:c>
      <x:c r="N88" s="3">
        <x:f>IF($K88="","",$K88+$M88)</x:f>
      </x:c>
      <x:c r="O88" s="12" t="n"/>
      <x:c r="P88" s="3">
        <x:f>IF($O88="",$N88,$O88)</x:f>
      </x:c>
      <x:c r="Q88" s="13" t="n"/>
      <x:c r="R88" s="3">
        <x:f>IF($Q88="","",ROUND($P88*$Q88,2))</x:f>
      </x:c>
      <x:c r="S88" s="3">
        <x:f>IF($Q88="","",$P88-$R88)</x:f>
      </x:c>
      <x:c r="T88" s="9">
        <x:f>IF($Q88="","미착수",IF($Q88&gt;=1,"완료","진행중"))</x:f>
      </x:c>
      <x:c r="U88" s="14" t="n"/>
      <x:c r="V88" s="15">
        <x:f>IF($U88="","",$U88+$P88-1)</x:f>
      </x:c>
      <x:c r="W88" s="3" t="inlineStr">
        <x:is>
          <x:t xml:space="preserve">검증 로직</x:t>
        </x:is>
      </x:c>
      <x:c r="X88" s="3" t="inlineStr">
        <x:is>
          <x:t xml:space="preserve">p4</x:t>
        </x:is>
      </x:c>
    </x:row>
    <x:row r="89" ht="42" customHeight="1">
      <x:c r="A89" s="9" t="inlineStr">
        <x:is>
          <x:t xml:space="preserve">4.5.2</x:t>
        </x:is>
      </x:c>
      <x:c r="B89" s="3" t="inlineStr">
        <x:is>
          <x:t xml:space="preserve">개발</x:t>
        </x:is>
      </x:c>
      <x:c r="C89" s="3" t="inlineStr">
        <x:is>
          <x:t xml:space="preserve">공지</x:t>
        </x:is>
      </x:c>
      <x:c r="D89" s="3" t="inlineStr">
        <x:is>
          <x:t xml:space="preserve">Recipients UI</x:t>
        </x:is>
      </x:c>
      <x:c r="E89" s="3" t="inlineStr">
        <x:is>
          <x:t xml:space="preserve">법인/부서 선택 팝업 UI</x:t>
        </x:is>
      </x:c>
      <x:c r="F89" s="10" t="inlineStr">
        <x:is>
          <x:t xml:space="preserve">검색/다중선택/선택값 요약 표시</x:t>
        </x:is>
      </x:c>
      <x:c r="G89" s="10" t="inlineStr">
        <x:is>
          <x:t xml:space="preserve">수신팝업 필요(p4)</x:t>
        </x:is>
      </x:c>
      <x:c r="H89" s="3" t="inlineStr">
        <x:is>
          <x:t xml:space="preserve">4.5</x:t>
        </x:is>
      </x:c>
      <x:c r="I89" s="3" t="inlineStr">
        <x:is>
          <x:t xml:space="preserve">FE</x:t>
        </x:is>
      </x:c>
      <x:c r="J89" s="9" t="inlineStr">
        <x:is>
          <x:t xml:space="preserve">상</x:t>
        </x:is>
      </x:c>
      <x:c r="K89" s="3">
        <x:f>IF($J89="","",VLOOKUP($J89,Assumptions!$A$11:$C$14,2,FALSE))</x:f>
      </x:c>
      <x:c r="L89" s="11">
        <x:f>IF($J89="","",VLOOKUP($J89,Assumptions!$A$11:$C$14,3,FALSE)+Assumptions!$G$11)</x:f>
      </x:c>
      <x:c r="M89" s="3">
        <x:f>IF($K89="","",ROUNDUP($K89*$L89,0))</x:f>
      </x:c>
      <x:c r="N89" s="3">
        <x:f>IF($K89="","",$K89+$M89)</x:f>
      </x:c>
      <x:c r="O89" s="12" t="n"/>
      <x:c r="P89" s="3">
        <x:f>IF($O89="",$N89,$O89)</x:f>
      </x:c>
      <x:c r="Q89" s="13" t="n"/>
      <x:c r="R89" s="3">
        <x:f>IF($Q89="","",ROUND($P89*$Q89,2))</x:f>
      </x:c>
      <x:c r="S89" s="3">
        <x:f>IF($Q89="","",$P89-$R89)</x:f>
      </x:c>
      <x:c r="T89" s="9">
        <x:f>IF($Q89="","미착수",IF($Q89&gt;=1,"완료","진행중"))</x:f>
      </x:c>
      <x:c r="U89" s="14" t="n"/>
      <x:c r="V89" s="15">
        <x:f>IF($U89="","",$U89+$P89-1)</x:f>
      </x:c>
      <x:c r="W89" s="3" t="inlineStr">
        <x:is>
          <x:t xml:space="preserve">수신대상 팝업</x:t>
        </x:is>
      </x:c>
      <x:c r="X89" s="3" t="inlineStr">
        <x:is>
          <x:t xml:space="preserve">p4</x:t>
        </x:is>
      </x:c>
    </x:row>
    <x:row r="90" ht="42" customHeight="1">
      <x:c r="A90" s="9" t="inlineStr">
        <x:is>
          <x:t xml:space="preserve">4.5.3</x:t>
        </x:is>
      </x:c>
      <x:c r="B90" s="3" t="inlineStr">
        <x:is>
          <x:t xml:space="preserve">개발</x:t>
        </x:is>
      </x:c>
      <x:c r="C90" s="3" t="inlineStr">
        <x:is>
          <x:t xml:space="preserve">공지</x:t>
        </x:is>
      </x:c>
      <x:c r="D90" s="3" t="inlineStr">
        <x:is>
          <x:t xml:space="preserve">SendTime UI</x:t>
        </x:is>
      </x:c>
      <x:c r="E90" s="3" t="inlineStr">
        <x:is>
          <x:t xml:space="preserve">정기/즉시 발송시간 선택 UI</x:t>
        </x:is>
      </x:c>
      <x:c r="F90" s="10" t="inlineStr">
        <x:is>
          <x:t xml:space="preserve">정기시간(08:30/17:30) 선택 시 안내문 포함</x:t>
        </x:is>
      </x:c>
      <x:c r="G90" s="10" t="inlineStr">
        <x:is>
          <x:t xml:space="preserve">정기발송 안내(p4)</x:t>
        </x:is>
      </x:c>
      <x:c r="H90" s="3" t="inlineStr">
        <x:is>
          <x:t xml:space="preserve">4.5</x:t>
        </x:is>
      </x:c>
      <x:c r="I90" s="3" t="inlineStr">
        <x:is>
          <x:t xml:space="preserve">FE</x:t>
        </x:is>
      </x:c>
      <x:c r="J90" s="9" t="inlineStr">
        <x:is>
          <x:t xml:space="preserve">중</x:t>
        </x:is>
      </x:c>
      <x:c r="K90" s="3">
        <x:f>IF($J90="","",VLOOKUP($J90,Assumptions!$A$11:$C$14,2,FALSE))</x:f>
      </x:c>
      <x:c r="L90" s="11">
        <x:f>IF($J90="","",VLOOKUP($J90,Assumptions!$A$11:$C$14,3,FALSE)+Assumptions!$G$11)</x:f>
      </x:c>
      <x:c r="M90" s="3">
        <x:f>IF($K90="","",ROUNDUP($K90*$L90,0))</x:f>
      </x:c>
      <x:c r="N90" s="3">
        <x:f>IF($K90="","",$K90+$M90)</x:f>
      </x:c>
      <x:c r="O90" s="12" t="n"/>
      <x:c r="P90" s="3">
        <x:f>IF($O90="",$N90,$O90)</x:f>
      </x:c>
      <x:c r="Q90" s="13" t="n"/>
      <x:c r="R90" s="3">
        <x:f>IF($Q90="","",ROUND($P90*$Q90,2))</x:f>
      </x:c>
      <x:c r="S90" s="3">
        <x:f>IF($Q90="","",$P90-$R90)</x:f>
      </x:c>
      <x:c r="T90" s="9">
        <x:f>IF($Q90="","미착수",IF($Q90&gt;=1,"완료","진행중"))</x:f>
      </x:c>
      <x:c r="U90" s="14" t="n"/>
      <x:c r="V90" s="15">
        <x:f>IF($U90="","",$U90+$P90-1)</x:f>
      </x:c>
      <x:c r="W90" s="3" t="inlineStr">
        <x:is>
          <x:t xml:space="preserve">발송시간 UI</x:t>
        </x:is>
      </x:c>
      <x:c r="X90" s="3" t="inlineStr">
        <x:is>
          <x:t xml:space="preserve">p4</x:t>
        </x:is>
      </x:c>
    </x:row>
    <x:row r="91" ht="42" customHeight="1">
      <x:c r="A91" s="9" t="inlineStr">
        <x:is>
          <x:t xml:space="preserve">4.5.4</x:t>
        </x:is>
      </x:c>
      <x:c r="B91" s="3" t="inlineStr">
        <x:is>
          <x:t xml:space="preserve">개발</x:t>
        </x:is>
      </x:c>
      <x:c r="C91" s="3" t="inlineStr">
        <x:is>
          <x:t xml:space="preserve">공지</x:t>
        </x:is>
      </x:c>
      <x:c r="D91" s="3" t="inlineStr">
        <x:is>
          <x:t xml:space="preserve">Preview</x:t>
        </x:is>
      </x:c>
      <x:c r="E91" s="3" t="inlineStr">
        <x:is>
          <x:t xml:space="preserve">메일/캘린더 미리보기(선택)</x:t>
        </x:is>
      </x:c>
      <x:c r="F91" s="10" t="inlineStr">
        <x:is>
          <x:t xml:space="preserve">발송 전 본문/일정 내용 확인 화면</x:t>
        </x:is>
      </x:c>
      <x:c r="G91" s="10" t="inlineStr">
        <x:is>
          <x:t xml:space="preserve">오발송 방지</x:t>
        </x:is>
      </x:c>
      <x:c r="H91" s="3" t="inlineStr">
        <x:is>
          <x:t xml:space="preserve">4.5</x:t>
        </x:is>
      </x:c>
      <x:c r="I91" s="3" t="inlineStr">
        <x:is>
          <x:t xml:space="preserve">FE/BE</x:t>
        </x:is>
      </x:c>
      <x:c r="J91" s="9" t="inlineStr">
        <x:is>
          <x:t xml:space="preserve">중</x:t>
        </x:is>
      </x:c>
      <x:c r="K91" s="3">
        <x:f>IF($J91="","",VLOOKUP($J91,Assumptions!$A$11:$C$14,2,FALSE))</x:f>
      </x:c>
      <x:c r="L91" s="11">
        <x:f>IF($J91="","",VLOOKUP($J91,Assumptions!$A$11:$C$14,3,FALSE)+Assumptions!$G$11)</x:f>
      </x:c>
      <x:c r="M91" s="3">
        <x:f>IF($K91="","",ROUNDUP($K91*$L91,0))</x:f>
      </x:c>
      <x:c r="N91" s="3">
        <x:f>IF($K91="","",$K91+$M91)</x:f>
      </x:c>
      <x:c r="O91" s="12" t="n"/>
      <x:c r="P91" s="3">
        <x:f>IF($O91="",$N91,$O91)</x:f>
      </x:c>
      <x:c r="Q91" s="13" t="n"/>
      <x:c r="R91" s="3">
        <x:f>IF($Q91="","",ROUND($P91*$Q91,2))</x:f>
      </x:c>
      <x:c r="S91" s="3">
        <x:f>IF($Q91="","",$P91-$R91)</x:f>
      </x:c>
      <x:c r="T91" s="9">
        <x:f>IF($Q91="","미착수",IF($Q91&gt;=1,"완료","진행중"))</x:f>
      </x:c>
      <x:c r="U91" s="14" t="n"/>
      <x:c r="V91" s="15">
        <x:f>IF($U91="","",$U91+$P91-1)</x:f>
      </x:c>
      <x:c r="W91" s="3" t="inlineStr">
        <x:is>
          <x:t xml:space="preserve">미리보기</x:t>
        </x:is>
      </x:c>
      <x:c r="X91" s="3" t="inlineStr">
        <x:is>
          <x:t xml:space="preserve">p3-4</x:t>
        </x:is>
      </x:c>
    </x:row>
    <x:row r="92" ht="42" customHeight="1">
      <x:c r="A92" s="9" t="inlineStr">
        <x:is>
          <x:t xml:space="preserve">4.6.1</x:t>
        </x:is>
      </x:c>
      <x:c r="B92" s="3" t="inlineStr">
        <x:is>
          <x:t xml:space="preserve">개발</x:t>
        </x:is>
      </x:c>
      <x:c r="C92" s="3" t="inlineStr">
        <x:is>
          <x:t xml:space="preserve">공지</x:t>
        </x:is>
      </x:c>
      <x:c r="D92" s="3" t="inlineStr">
        <x:is>
          <x:t xml:space="preserve">Notice API</x:t>
        </x:is>
      </x:c>
      <x:c r="E92" s="3" t="inlineStr">
        <x:is>
          <x:t xml:space="preserve">서버 검증(권한/상태/수신대상)</x:t>
        </x:is>
      </x:c>
      <x:c r="F92" s="10" t="inlineStr">
        <x:is>
          <x:t xml:space="preserve">승인 전 상태에서만 수정 허용, 권한 체크</x:t>
        </x:is>
      </x:c>
      <x:c r="G92" s="10" t="inlineStr">
        <x:is>
          <x:t xml:space="preserve">통제 필요(p5)</x:t>
        </x:is>
      </x:c>
      <x:c r="H92" s="3" t="inlineStr">
        <x:is>
          <x:t xml:space="preserve">4.6</x:t>
        </x:is>
      </x:c>
      <x:c r="I92" s="3" t="inlineStr">
        <x:is>
          <x:t xml:space="preserve">BE</x:t>
        </x:is>
      </x:c>
      <x:c r="J92" s="9" t="inlineStr">
        <x:is>
          <x:t xml:space="preserve">상</x:t>
        </x:is>
      </x:c>
      <x:c r="K92" s="3">
        <x:f>IF($J92="","",VLOOKUP($J92,Assumptions!$A$11:$C$14,2,FALSE))</x:f>
      </x:c>
      <x:c r="L92" s="11">
        <x:f>IF($J92="","",VLOOKUP($J92,Assumptions!$A$11:$C$14,3,FALSE)+Assumptions!$G$11)</x:f>
      </x:c>
      <x:c r="M92" s="3">
        <x:f>IF($K92="","",ROUNDUP($K92*$L92,0))</x:f>
      </x:c>
      <x:c r="N92" s="3">
        <x:f>IF($K92="","",$K92+$M92)</x:f>
      </x:c>
      <x:c r="O92" s="12" t="n"/>
      <x:c r="P92" s="3">
        <x:f>IF($O92="",$N92,$O92)</x:f>
      </x:c>
      <x:c r="Q92" s="13" t="n"/>
      <x:c r="R92" s="3">
        <x:f>IF($Q92="","",ROUND($P92*$Q92,2))</x:f>
      </x:c>
      <x:c r="S92" s="3">
        <x:f>IF($Q92="","",$P92-$R92)</x:f>
      </x:c>
      <x:c r="T92" s="9">
        <x:f>IF($Q92="","미착수",IF($Q92&gt;=1,"완료","진행중"))</x:f>
      </x:c>
      <x:c r="U92" s="14" t="n"/>
      <x:c r="V92" s="15">
        <x:f>IF($U92="","",$U92+$P92-1)</x:f>
      </x:c>
      <x:c r="W92" s="3" t="inlineStr">
        <x:is>
          <x:t xml:space="preserve">서버 검증</x:t>
        </x:is>
      </x:c>
      <x:c r="X92" s="3" t="inlineStr">
        <x:is>
          <x:t xml:space="preserve">p5</x:t>
        </x:is>
      </x:c>
    </x:row>
    <x:row r="93" ht="42" customHeight="1">
      <x:c r="A93" s="9" t="inlineStr">
        <x:is>
          <x:t xml:space="preserve">4.6.2</x:t>
        </x:is>
      </x:c>
      <x:c r="B93" s="3" t="inlineStr">
        <x:is>
          <x:t xml:space="preserve">개발</x:t>
        </x:is>
      </x:c>
      <x:c r="C93" s="3" t="inlineStr">
        <x:is>
          <x:t xml:space="preserve">공지</x:t>
        </x:is>
      </x:c>
      <x:c r="D93" s="3" t="inlineStr">
        <x:is>
          <x:t xml:space="preserve">Notice API</x:t>
        </x:is>
      </x:c>
      <x:c r="E93" s="3" t="inlineStr">
        <x:is>
          <x:t xml:space="preserve">공지 내용 보안 처리(HTML/스크립트 차단)</x:t>
        </x:is>
      </x:c>
      <x:c r="F93" s="10" t="inlineStr">
        <x:is>
          <x:t xml:space="preserve">본문 입력 시 XSS 방지, 허용 태그 제한</x:t>
        </x:is>
      </x:c>
      <x:c r="G93" s="10" t="inlineStr">
        <x:is>
          <x:t xml:space="preserve">보안 요구(NFR)</x:t>
        </x:is>
      </x:c>
      <x:c r="H93" s="3" t="inlineStr">
        <x:is>
          <x:t xml:space="preserve">4.6</x:t>
        </x:is>
      </x:c>
      <x:c r="I93" s="3" t="inlineStr">
        <x:is>
          <x:t xml:space="preserve">BE</x:t>
        </x:is>
      </x:c>
      <x:c r="J93" s="9" t="inlineStr">
        <x:is>
          <x:t xml:space="preserve">중</x:t>
        </x:is>
      </x:c>
      <x:c r="K93" s="3">
        <x:f>IF($J93="","",VLOOKUP($J93,Assumptions!$A$11:$C$14,2,FALSE))</x:f>
      </x:c>
      <x:c r="L93" s="11">
        <x:f>IF($J93="","",VLOOKUP($J93,Assumptions!$A$11:$C$14,3,FALSE)+Assumptions!$G$11)</x:f>
      </x:c>
      <x:c r="M93" s="3">
        <x:f>IF($K93="","",ROUNDUP($K93*$L93,0))</x:f>
      </x:c>
      <x:c r="N93" s="3">
        <x:f>IF($K93="","",$K93+$M93)</x:f>
      </x:c>
      <x:c r="O93" s="12" t="n"/>
      <x:c r="P93" s="3">
        <x:f>IF($O93="",$N93,$O93)</x:f>
      </x:c>
      <x:c r="Q93" s="13" t="n"/>
      <x:c r="R93" s="3">
        <x:f>IF($Q93="","",ROUND($P93*$Q93,2))</x:f>
      </x:c>
      <x:c r="S93" s="3">
        <x:f>IF($Q93="","",$P93-$R93)</x:f>
      </x:c>
      <x:c r="T93" s="9">
        <x:f>IF($Q93="","미착수",IF($Q93&gt;=1,"완료","진행중"))</x:f>
      </x:c>
      <x:c r="U93" s="14" t="n"/>
      <x:c r="V93" s="15">
        <x:f>IF($U93="","",$U93+$P93-1)</x:f>
      </x:c>
      <x:c r="W93" s="3" t="inlineStr">
        <x:is>
          <x:t xml:space="preserve">콘텐츠 정제</x:t>
        </x:is>
      </x:c>
      <x:c r="X93" s="3" t="inlineStr">
        <x:is>
          <x:t xml:space="preserve">p5</x:t>
        </x:is>
      </x:c>
    </x:row>
    <x:row r="94" ht="42" customHeight="1">
      <x:c r="A94" s="9" t="inlineStr">
        <x:is>
          <x:t xml:space="preserve">5.6.1</x:t>
        </x:is>
      </x:c>
      <x:c r="B94" s="3" t="inlineStr">
        <x:is>
          <x:t xml:space="preserve">개발</x:t>
        </x:is>
      </x:c>
      <x:c r="C94" s="3" t="inlineStr">
        <x:is>
          <x:t xml:space="preserve">발송</x:t>
        </x:is>
      </x:c>
      <x:c r="D94" s="3" t="inlineStr">
        <x:is>
          <x:t xml:space="preserve">Batch Send</x:t>
        </x:is>
      </x:c>
      <x:c r="E94" s="3" t="inlineStr">
        <x:is>
          <x:t xml:space="preserve">스케줄 트리거/크론 설정</x:t>
        </x:is>
      </x:c>
      <x:c r="F94" s="10" t="inlineStr">
        <x:is>
          <x:t xml:space="preserve">오전/오후 정기시간 트리거 설정 및 테스트</x:t>
        </x:is>
      </x:c>
      <x:c r="G94" s="10" t="inlineStr">
        <x:is>
          <x:t xml:space="preserve">정기발송(p4)</x:t>
        </x:is>
      </x:c>
      <x:c r="H94" s="3" t="inlineStr">
        <x:is>
          <x:t xml:space="preserve">5.6</x:t>
        </x:is>
      </x:c>
      <x:c r="I94" s="3" t="inlineStr">
        <x:is>
          <x:t xml:space="preserve">BE/Infra</x:t>
        </x:is>
      </x:c>
      <x:c r="J94" s="9" t="inlineStr">
        <x:is>
          <x:t xml:space="preserve">중</x:t>
        </x:is>
      </x:c>
      <x:c r="K94" s="3">
        <x:f>IF($J94="","",VLOOKUP($J94,Assumptions!$A$11:$C$14,2,FALSE))</x:f>
      </x:c>
      <x:c r="L94" s="11">
        <x:f>IF($J94="","",VLOOKUP($J94,Assumptions!$A$11:$C$14,3,FALSE)+Assumptions!$G$11)</x:f>
      </x:c>
      <x:c r="M94" s="3">
        <x:f>IF($K94="","",ROUNDUP($K94*$L94,0))</x:f>
      </x:c>
      <x:c r="N94" s="3">
        <x:f>IF($K94="","",$K94+$M94)</x:f>
      </x:c>
      <x:c r="O94" s="12" t="n"/>
      <x:c r="P94" s="3">
        <x:f>IF($O94="",$N94,$O94)</x:f>
      </x:c>
      <x:c r="Q94" s="13" t="n"/>
      <x:c r="R94" s="3">
        <x:f>IF($Q94="","",ROUND($P94*$Q94,2))</x:f>
      </x:c>
      <x:c r="S94" s="3">
        <x:f>IF($Q94="","",$P94-$R94)</x:f>
      </x:c>
      <x:c r="T94" s="9">
        <x:f>IF($Q94="","미착수",IF($Q94&gt;=1,"완료","진행중"))</x:f>
      </x:c>
      <x:c r="U94" s="14" t="n"/>
      <x:c r="V94" s="15">
        <x:f>IF($U94="","",$U94+$P94-1)</x:f>
      </x:c>
      <x:c r="W94" s="3" t="inlineStr">
        <x:is>
          <x:t xml:space="preserve">크론/스케줄 설정</x:t>
        </x:is>
      </x:c>
      <x:c r="X94" s="3" t="inlineStr">
        <x:is>
          <x:t xml:space="preserve">p4</x:t>
        </x:is>
      </x:c>
    </x:row>
    <x:row r="95" ht="42" customHeight="1">
      <x:c r="A95" s="9" t="inlineStr">
        <x:is>
          <x:t xml:space="preserve">5.6.2</x:t>
        </x:is>
      </x:c>
      <x:c r="B95" s="3" t="inlineStr">
        <x:is>
          <x:t xml:space="preserve">개발</x:t>
        </x:is>
      </x:c>
      <x:c r="C95" s="3" t="inlineStr">
        <x:is>
          <x:t xml:space="preserve">발송</x:t>
        </x:is>
      </x:c>
      <x:c r="D95" s="3" t="inlineStr">
        <x:is>
          <x:t xml:space="preserve">Batch Send</x:t>
        </x:is>
      </x:c>
      <x:c r="E95" s="3" t="inlineStr">
        <x:is>
          <x:t xml:space="preserve">묶음메일 대상 선정/그룹핑 로직</x:t>
        </x:is>
      </x:c>
      <x:c r="F95" s="10" t="inlineStr">
        <x:is>
          <x:t xml:space="preserve">시간대/법인/부서별 묶음 규칙 확정 및 구현</x:t>
        </x:is>
      </x:c>
      <x:c r="G95" s="10" t="inlineStr">
        <x:is>
          <x:t xml:space="preserve">묶음메일 핵심(p4)</x:t>
        </x:is>
      </x:c>
      <x:c r="H95" s="3" t="inlineStr">
        <x:is>
          <x:t xml:space="preserve">5.6</x:t>
        </x:is>
      </x:c>
      <x:c r="I95" s="3" t="inlineStr">
        <x:is>
          <x:t xml:space="preserve">BE</x:t>
        </x:is>
      </x:c>
      <x:c r="J95" s="9" t="inlineStr">
        <x:is>
          <x:t xml:space="preserve">초상</x:t>
        </x:is>
      </x:c>
      <x:c r="K95" s="3">
        <x:f>IF($J95="","",VLOOKUP($J95,Assumptions!$A$11:$C$14,2,FALSE))</x:f>
      </x:c>
      <x:c r="L95" s="11">
        <x:f>IF($J95="","",VLOOKUP($J95,Assumptions!$A$11:$C$14,3,FALSE)+Assumptions!$G$11)</x:f>
      </x:c>
      <x:c r="M95" s="3">
        <x:f>IF($K95="","",ROUNDUP($K95*$L95,0))</x:f>
      </x:c>
      <x:c r="N95" s="3">
        <x:f>IF($K95="","",$K95+$M95)</x:f>
      </x:c>
      <x:c r="O95" s="12" t="n"/>
      <x:c r="P95" s="3">
        <x:f>IF($O95="",$N95,$O95)</x:f>
      </x:c>
      <x:c r="Q95" s="13" t="n"/>
      <x:c r="R95" s="3">
        <x:f>IF($Q95="","",ROUND($P95*$Q95,2))</x:f>
      </x:c>
      <x:c r="S95" s="3">
        <x:f>IF($Q95="","",$P95-$R95)</x:f>
      </x:c>
      <x:c r="T95" s="9">
        <x:f>IF($Q95="","미착수",IF($Q95&gt;=1,"완료","진행중"))</x:f>
      </x:c>
      <x:c r="U95" s="14" t="n"/>
      <x:c r="V95" s="15">
        <x:f>IF($U95="","",$U95+$P95-1)</x:f>
      </x:c>
      <x:c r="W95" s="3" t="inlineStr">
        <x:is>
          <x:t xml:space="preserve">그룹핑 로직</x:t>
        </x:is>
      </x:c>
      <x:c r="X95" s="3" t="inlineStr">
        <x:is>
          <x:t xml:space="preserve">p4</x:t>
        </x:is>
      </x:c>
    </x:row>
    <x:row r="96" ht="42" customHeight="1">
      <x:c r="A96" s="9" t="inlineStr">
        <x:is>
          <x:t xml:space="preserve">5.6.3</x:t>
        </x:is>
      </x:c>
      <x:c r="B96" s="3" t="inlineStr">
        <x:is>
          <x:t xml:space="preserve">개발</x:t>
        </x:is>
      </x:c>
      <x:c r="C96" s="3" t="inlineStr">
        <x:is>
          <x:t xml:space="preserve">발송</x:t>
        </x:is>
      </x:c>
      <x:c r="D96" s="3" t="inlineStr">
        <x:is>
          <x:t xml:space="preserve">Batch Send</x:t>
        </x:is>
      </x:c>
      <x:c r="E96" s="3" t="inlineStr">
        <x:is>
          <x:t xml:space="preserve">메일 합본 템플릿(공지 다건) 구현</x:t>
        </x:is>
      </x:c>
      <x:c r="F96" s="10" t="inlineStr">
        <x:is>
          <x:t xml:space="preserve">다건 공지를 1메일에 섹션 형태로 렌더</x:t>
        </x:is>
      </x:c>
      <x:c r="G96" s="10" t="inlineStr">
        <x:is>
          <x:t xml:space="preserve">묶음메일 요구</x:t>
        </x:is>
      </x:c>
      <x:c r="H96" s="3" t="inlineStr">
        <x:is>
          <x:t xml:space="preserve">5.5</x:t>
        </x:is>
      </x:c>
      <x:c r="I96" s="3" t="inlineStr">
        <x:is>
          <x:t xml:space="preserve">BE</x:t>
        </x:is>
      </x:c>
      <x:c r="J96" s="9" t="inlineStr">
        <x:is>
          <x:t xml:space="preserve">상</x:t>
        </x:is>
      </x:c>
      <x:c r="K96" s="3">
        <x:f>IF($J96="","",VLOOKUP($J96,Assumptions!$A$11:$C$14,2,FALSE))</x:f>
      </x:c>
      <x:c r="L96" s="11">
        <x:f>IF($J96="","",VLOOKUP($J96,Assumptions!$A$11:$C$14,3,FALSE)+Assumptions!$G$11)</x:f>
      </x:c>
      <x:c r="M96" s="3">
        <x:f>IF($K96="","",ROUNDUP($K96*$L96,0))</x:f>
      </x:c>
      <x:c r="N96" s="3">
        <x:f>IF($K96="","",$K96+$M96)</x:f>
      </x:c>
      <x:c r="O96" s="12" t="n"/>
      <x:c r="P96" s="3">
        <x:f>IF($O96="",$N96,$O96)</x:f>
      </x:c>
      <x:c r="Q96" s="13" t="n"/>
      <x:c r="R96" s="3">
        <x:f>IF($Q96="","",ROUND($P96*$Q96,2))</x:f>
      </x:c>
      <x:c r="S96" s="3">
        <x:f>IF($Q96="","",$P96-$R96)</x:f>
      </x:c>
      <x:c r="T96" s="9">
        <x:f>IF($Q96="","미착수",IF($Q96&gt;=1,"완료","진행중"))</x:f>
      </x:c>
      <x:c r="U96" s="14" t="n"/>
      <x:c r="V96" s="15">
        <x:f>IF($U96="","",$U96+$P96-1)</x:f>
      </x:c>
      <x:c r="W96" s="3" t="inlineStr">
        <x:is>
          <x:t xml:space="preserve">합본 템플릿</x:t>
        </x:is>
      </x:c>
      <x:c r="X96" s="3" t="inlineStr">
        <x:is>
          <x:t xml:space="preserve">p4</x:t>
        </x:is>
      </x:c>
    </x:row>
    <x:row r="97" ht="42" customHeight="1">
      <x:c r="A97" s="9" t="inlineStr">
        <x:is>
          <x:t xml:space="preserve">5.6.4</x:t>
        </x:is>
      </x:c>
      <x:c r="B97" s="3" t="inlineStr">
        <x:is>
          <x:t xml:space="preserve">개발</x:t>
        </x:is>
      </x:c>
      <x:c r="C97" s="3" t="inlineStr">
        <x:is>
          <x:t xml:space="preserve">발송</x:t>
        </x:is>
      </x:c>
      <x:c r="D97" s="3" t="inlineStr">
        <x:is>
          <x:t xml:space="preserve">Batch Send</x:t>
        </x:is>
      </x:c>
      <x:c r="E97" s="3" t="inlineStr">
        <x:is>
          <x:t xml:space="preserve">중복 발송 방지(멱등키) 적용</x:t>
        </x:is>
      </x:c>
      <x:c r="F97" s="10" t="inlineStr">
        <x:is>
          <x:t xml:space="preserve">같은 배치에서 중복 발송 방지 키/락 적용</x:t>
        </x:is>
      </x:c>
      <x:c r="G97" s="10" t="inlineStr">
        <x:is>
          <x:t xml:space="preserve">오발송 방지</x:t>
        </x:is>
      </x:c>
      <x:c r="H97" s="3" t="inlineStr">
        <x:is>
          <x:t xml:space="preserve">5.10</x:t>
        </x:is>
      </x:c>
      <x:c r="I97" s="3" t="inlineStr">
        <x:is>
          <x:t xml:space="preserve">BE</x:t>
        </x:is>
      </x:c>
      <x:c r="J97" s="9" t="inlineStr">
        <x:is>
          <x:t xml:space="preserve">상</x:t>
        </x:is>
      </x:c>
      <x:c r="K97" s="3">
        <x:f>IF($J97="","",VLOOKUP($J97,Assumptions!$A$11:$C$14,2,FALSE))</x:f>
      </x:c>
      <x:c r="L97" s="11">
        <x:f>IF($J97="","",VLOOKUP($J97,Assumptions!$A$11:$C$14,3,FALSE)+Assumptions!$G$11)</x:f>
      </x:c>
      <x:c r="M97" s="3">
        <x:f>IF($K97="","",ROUNDUP($K97*$L97,0))</x:f>
      </x:c>
      <x:c r="N97" s="3">
        <x:f>IF($K97="","",$K97+$M97)</x:f>
      </x:c>
      <x:c r="O97" s="12" t="n"/>
      <x:c r="P97" s="3">
        <x:f>IF($O97="",$N97,$O97)</x:f>
      </x:c>
      <x:c r="Q97" s="13" t="n"/>
      <x:c r="R97" s="3">
        <x:f>IF($Q97="","",ROUND($P97*$Q97,2))</x:f>
      </x:c>
      <x:c r="S97" s="3">
        <x:f>IF($Q97="","",$P97-$R97)</x:f>
      </x:c>
      <x:c r="T97" s="9">
        <x:f>IF($Q97="","미착수",IF($Q97&gt;=1,"완료","진행중"))</x:f>
      </x:c>
      <x:c r="U97" s="14" t="n"/>
      <x:c r="V97" s="15">
        <x:f>IF($U97="","",$U97+$P97-1)</x:f>
      </x:c>
      <x:c r="W97" s="3" t="inlineStr">
        <x:is>
          <x:t xml:space="preserve">멱등 처리</x:t>
        </x:is>
      </x:c>
      <x:c r="X97" s="3" t="inlineStr">
        <x:is>
          <x:t xml:space="preserve">p5</x:t>
        </x:is>
      </x:c>
    </x:row>
    <x:row r="98" ht="42" customHeight="1">
      <x:c r="A98" s="9" t="inlineStr">
        <x:is>
          <x:t xml:space="preserve">5.6.5</x:t>
        </x:is>
      </x:c>
      <x:c r="B98" s="3" t="inlineStr">
        <x:is>
          <x:t xml:space="preserve">개발</x:t>
        </x:is>
      </x:c>
      <x:c r="C98" s="3" t="inlineStr">
        <x:is>
          <x:t xml:space="preserve">발송</x:t>
        </x:is>
      </x:c>
      <x:c r="D98" s="3" t="inlineStr">
        <x:is>
          <x:t xml:space="preserve">Batch Send</x:t>
        </x:is>
      </x:c>
      <x:c r="E98" s="3" t="inlineStr">
        <x:is>
          <x:t xml:space="preserve">동시성 제어(락/큐) 및 모니터링</x:t>
        </x:is>
      </x:c>
      <x:c r="F98" s="10" t="inlineStr">
        <x:is>
          <x:t xml:space="preserve">배치 중복 실행 방지, 실행 로그</x:t>
        </x:is>
      </x:c>
      <x:c r="G98" s="10" t="inlineStr">
        <x:is>
          <x:t xml:space="preserve">운영 안정성</x:t>
        </x:is>
      </x:c>
      <x:c r="H98" s="3" t="inlineStr">
        <x:is>
          <x:t xml:space="preserve">5.6</x:t>
        </x:is>
      </x:c>
      <x:c r="I98" s="3" t="inlineStr">
        <x:is>
          <x:t xml:space="preserve">BE</x:t>
        </x:is>
      </x:c>
      <x:c r="J98" s="9" t="inlineStr">
        <x:is>
          <x:t xml:space="preserve">상</x:t>
        </x:is>
      </x:c>
      <x:c r="K98" s="3">
        <x:f>IF($J98="","",VLOOKUP($J98,Assumptions!$A$11:$C$14,2,FALSE))</x:f>
      </x:c>
      <x:c r="L98" s="11">
        <x:f>IF($J98="","",VLOOKUP($J98,Assumptions!$A$11:$C$14,3,FALSE)+Assumptions!$G$11)</x:f>
      </x:c>
      <x:c r="M98" s="3">
        <x:f>IF($K98="","",ROUNDUP($K98*$L98,0))</x:f>
      </x:c>
      <x:c r="N98" s="3">
        <x:f>IF($K98="","",$K98+$M98)</x:f>
      </x:c>
      <x:c r="O98" s="12" t="n"/>
      <x:c r="P98" s="3">
        <x:f>IF($O98="",$N98,$O98)</x:f>
      </x:c>
      <x:c r="Q98" s="13" t="n"/>
      <x:c r="R98" s="3">
        <x:f>IF($Q98="","",ROUND($P98*$Q98,2))</x:f>
      </x:c>
      <x:c r="S98" s="3">
        <x:f>IF($Q98="","",$P98-$R98)</x:f>
      </x:c>
      <x:c r="T98" s="9">
        <x:f>IF($Q98="","미착수",IF($Q98&gt;=1,"완료","진행중"))</x:f>
      </x:c>
      <x:c r="U98" s="14" t="n"/>
      <x:c r="V98" s="15">
        <x:f>IF($U98="","",$U98+$P98-1)</x:f>
      </x:c>
      <x:c r="W98" s="3" t="inlineStr">
        <x:is>
          <x:t xml:space="preserve">락/모니터링</x:t>
        </x:is>
      </x:c>
      <x:c r="X98" s="3" t="inlineStr">
        <x:is>
          <x:t xml:space="preserve">p5</x:t>
        </x:is>
      </x:c>
    </x:row>
    <x:row r="99" ht="42" customHeight="1">
      <x:c r="A99" s="9" t="inlineStr">
        <x:is>
          <x:t xml:space="preserve">6.3.1</x:t>
        </x:is>
      </x:c>
      <x:c r="B99" s="3" t="inlineStr">
        <x:is>
          <x:t xml:space="preserve">연동</x:t>
        </x:is>
      </x:c>
      <x:c r="C99" s="3" t="inlineStr">
        <x:is>
          <x:t xml:space="preserve">MS Graph</x:t>
        </x:is>
      </x:c>
      <x:c r="D99" s="3" t="inlineStr">
        <x:is>
          <x:t xml:space="preserve">Auth</x:t>
        </x:is>
      </x:c>
      <x:c r="E99" s="3" t="inlineStr">
        <x:is>
          <x:t xml:space="preserve">토큰 캐시 저장소 설계/구현</x:t>
        </x:is>
      </x:c>
      <x:c r="F99" s="10" t="inlineStr">
        <x:is>
          <x:t xml:space="preserve">메모리/Redis 등 캐시, 동시 갱신 방지</x:t>
        </x:is>
      </x:c>
      <x:c r="G99" s="10" t="inlineStr">
        <x:is>
          <x:t xml:space="preserve">안정적 발송</x:t>
        </x:is>
      </x:c>
      <x:c r="H99" s="3" t="inlineStr">
        <x:is>
          <x:t xml:space="preserve">6.3</x:t>
        </x:is>
      </x:c>
      <x:c r="I99" s="3" t="inlineStr">
        <x:is>
          <x:t xml:space="preserve">BE</x:t>
        </x:is>
      </x:c>
      <x:c r="J99" s="9" t="inlineStr">
        <x:is>
          <x:t xml:space="preserve">상</x:t>
        </x:is>
      </x:c>
      <x:c r="K99" s="3">
        <x:f>IF($J99="","",VLOOKUP($J99,Assumptions!$A$11:$C$14,2,FALSE))</x:f>
      </x:c>
      <x:c r="L99" s="11">
        <x:f>IF($J99="","",VLOOKUP($J99,Assumptions!$A$11:$C$14,3,FALSE)+Assumptions!$G$11)</x:f>
      </x:c>
      <x:c r="M99" s="3">
        <x:f>IF($K99="","",ROUNDUP($K99*$L99,0))</x:f>
      </x:c>
      <x:c r="N99" s="3">
        <x:f>IF($K99="","",$K99+$M99)</x:f>
      </x:c>
      <x:c r="O99" s="12" t="n"/>
      <x:c r="P99" s="3">
        <x:f>IF($O99="",$N99,$O99)</x:f>
      </x:c>
      <x:c r="Q99" s="13" t="n"/>
      <x:c r="R99" s="3">
        <x:f>IF($Q99="","",ROUND($P99*$Q99,2))</x:f>
      </x:c>
      <x:c r="S99" s="3">
        <x:f>IF($Q99="","",$P99-$R99)</x:f>
      </x:c>
      <x:c r="T99" s="9">
        <x:f>IF($Q99="","미착수",IF($Q99&gt;=1,"완료","진행중"))</x:f>
      </x:c>
      <x:c r="U99" s="14" t="n"/>
      <x:c r="V99" s="15">
        <x:f>IF($U99="","",$U99+$P99-1)</x:f>
      </x:c>
      <x:c r="W99" s="3" t="inlineStr">
        <x:is>
          <x:t xml:space="preserve">토큰 캐시</x:t>
        </x:is>
      </x:c>
      <x:c r="X99" s="3" t="inlineStr">
        <x:is>
          <x:t xml:space="preserve">p3</x:t>
        </x:is>
      </x:c>
    </x:row>
    <x:row r="100" ht="42" customHeight="1">
      <x:c r="A100" s="9" t="inlineStr">
        <x:is>
          <x:t xml:space="preserve">6.3.2</x:t>
        </x:is>
      </x:c>
      <x:c r="B100" s="3" t="inlineStr">
        <x:is>
          <x:t xml:space="preserve">연동</x:t>
        </x:is>
      </x:c>
      <x:c r="C100" s="3" t="inlineStr">
        <x:is>
          <x:t xml:space="preserve">MS Graph</x:t>
        </x:is>
      </x:c>
      <x:c r="D100" s="3" t="inlineStr">
        <x:is>
          <x:t xml:space="preserve">Auth</x:t>
        </x:is>
      </x:c>
      <x:c r="E100" s="3" t="inlineStr">
        <x:is>
          <x:t xml:space="preserve">토큰 갱신 실패/재시도 처리</x:t>
        </x:is>
      </x:c>
      <x:c r="F100" s="10" t="inlineStr">
        <x:is>
          <x:t xml:space="preserve">만료/권한 오류 시 안전한 실패 처리 및 알림</x:t>
        </x:is>
      </x:c>
      <x:c r="G100" s="10" t="inlineStr">
        <x:is>
          <x:t xml:space="preserve">운영 리스크</x:t>
        </x:is>
      </x:c>
      <x:c r="H100" s="3" t="inlineStr">
        <x:is>
          <x:t xml:space="preserve">6.3</x:t>
        </x:is>
      </x:c>
      <x:c r="I100" s="3" t="inlineStr">
        <x:is>
          <x:t xml:space="preserve">BE</x:t>
        </x:is>
      </x:c>
      <x:c r="J100" s="9" t="inlineStr">
        <x:is>
          <x:t xml:space="preserve">상</x:t>
        </x:is>
      </x:c>
      <x:c r="K100" s="3">
        <x:f>IF($J100="","",VLOOKUP($J100,Assumptions!$A$11:$C$14,2,FALSE))</x:f>
      </x:c>
      <x:c r="L100" s="11">
        <x:f>IF($J100="","",VLOOKUP($J100,Assumptions!$A$11:$C$14,3,FALSE)+Assumptions!$G$11)</x:f>
      </x:c>
      <x:c r="M100" s="3">
        <x:f>IF($K100="","",ROUNDUP($K100*$L100,0))</x:f>
      </x:c>
      <x:c r="N100" s="3">
        <x:f>IF($K100="","",$K100+$M100)</x:f>
      </x:c>
      <x:c r="O100" s="12" t="n"/>
      <x:c r="P100" s="3">
        <x:f>IF($O100="",$N100,$O100)</x:f>
      </x:c>
      <x:c r="Q100" s="13" t="n"/>
      <x:c r="R100" s="3">
        <x:f>IF($Q100="","",ROUND($P100*$Q100,2))</x:f>
      </x:c>
      <x:c r="S100" s="3">
        <x:f>IF($Q100="","",$P100-$R100)</x:f>
      </x:c>
      <x:c r="T100" s="9">
        <x:f>IF($Q100="","미착수",IF($Q100&gt;=1,"완료","진행중"))</x:f>
      </x:c>
      <x:c r="U100" s="14" t="n"/>
      <x:c r="V100" s="15">
        <x:f>IF($U100="","",$U100+$P100-1)</x:f>
      </x:c>
      <x:c r="W100" s="3" t="inlineStr">
        <x:is>
          <x:t xml:space="preserve">갱신 예외처리</x:t>
        </x:is>
      </x:c>
      <x:c r="X100" s="3" t="inlineStr">
        <x:is>
          <x:t xml:space="preserve">p3</x:t>
        </x:is>
      </x:c>
    </x:row>
    <x:row r="101" ht="42" customHeight="1">
      <x:c r="A101" s="9" t="inlineStr">
        <x:is>
          <x:t xml:space="preserve">6.3.3</x:t>
        </x:is>
      </x:c>
      <x:c r="B101" s="3" t="inlineStr">
        <x:is>
          <x:t xml:space="preserve">연동</x:t>
        </x:is>
      </x:c>
      <x:c r="C101" s="3" t="inlineStr">
        <x:is>
          <x:t xml:space="preserve">MS Graph</x:t>
        </x:is>
      </x:c>
      <x:c r="D101" s="3" t="inlineStr">
        <x:is>
          <x:t xml:space="preserve">Auth</x:t>
        </x:is>
      </x:c>
      <x:c r="E101" s="3" t="inlineStr">
        <x:is>
          <x:t xml:space="preserve">Secret/인증서 보관 및 교체 절차</x:t>
        </x:is>
      </x:c>
      <x:c r="F101" s="10" t="inlineStr">
        <x:is>
          <x:t xml:space="preserve">Vault/Key 저장, 교체 시 무중단 전략</x:t>
        </x:is>
      </x:c>
      <x:c r="G101" s="10" t="inlineStr">
        <x:is>
          <x:t xml:space="preserve">보안 요구</x:t>
        </x:is>
      </x:c>
      <x:c r="H101" s="3" t="inlineStr">
        <x:is>
          <x:t xml:space="preserve">6.1</x:t>
        </x:is>
      </x:c>
      <x:c r="I101" s="3" t="inlineStr">
        <x:is>
          <x:t xml:space="preserve">Infra</x:t>
        </x:is>
      </x:c>
      <x:c r="J101" s="9" t="inlineStr">
        <x:is>
          <x:t xml:space="preserve">상</x:t>
        </x:is>
      </x:c>
      <x:c r="K101" s="3">
        <x:f>IF($J101="","",VLOOKUP($J101,Assumptions!$A$11:$C$14,2,FALSE))</x:f>
      </x:c>
      <x:c r="L101" s="11">
        <x:f>IF($J101="","",VLOOKUP($J101,Assumptions!$A$11:$C$14,3,FALSE)+Assumptions!$G$11)</x:f>
      </x:c>
      <x:c r="M101" s="3">
        <x:f>IF($K101="","",ROUNDUP($K101*$L101,0))</x:f>
      </x:c>
      <x:c r="N101" s="3">
        <x:f>IF($K101="","",$K101+$M101)</x:f>
      </x:c>
      <x:c r="O101" s="12" t="n"/>
      <x:c r="P101" s="3">
        <x:f>IF($O101="",$N101,$O101)</x:f>
      </x:c>
      <x:c r="Q101" s="13" t="n"/>
      <x:c r="R101" s="3">
        <x:f>IF($Q101="","",ROUND($P101*$Q101,2))</x:f>
      </x:c>
      <x:c r="S101" s="3">
        <x:f>IF($Q101="","",$P101-$R101)</x:f>
      </x:c>
      <x:c r="T101" s="9">
        <x:f>IF($Q101="","미착수",IF($Q101&gt;=1,"완료","진행중"))</x:f>
      </x:c>
      <x:c r="U101" s="14" t="n"/>
      <x:c r="V101" s="15">
        <x:f>IF($U101="","",$U101+$P101-1)</x:f>
      </x:c>
      <x:c r="W101" s="3" t="inlineStr">
        <x:is>
          <x:t xml:space="preserve">비밀관리 절차</x:t>
        </x:is>
      </x:c>
      <x:c r="X101" s="3" t="inlineStr">
        <x:is>
          <x:t xml:space="preserve">p5</x:t>
        </x:is>
      </x:c>
    </x:row>
    <x:row r="102" ht="42" customHeight="1">
      <x:c r="A102" s="9" t="inlineStr">
        <x:is>
          <x:t xml:space="preserve">6.5.1</x:t>
        </x:is>
      </x:c>
      <x:c r="B102" s="3" t="inlineStr">
        <x:is>
          <x:t xml:space="preserve">연동</x:t>
        </x:is>
      </x:c>
      <x:c r="C102" s="3" t="inlineStr">
        <x:is>
          <x:t xml:space="preserve">MS Graph</x:t>
        </x:is>
      </x:c>
      <x:c r="D102" s="3" t="inlineStr">
        <x:is>
          <x:t xml:space="preserve">Mail</x:t>
        </x:is>
      </x:c>
      <x:c r="E102" s="3" t="inlineStr">
        <x:is>
          <x:t xml:space="preserve">sendMail 요청 페이로드 구성</x:t>
        </x:is>
      </x:c>
      <x:c r="F102" s="10" t="inlineStr">
        <x:is>
          <x:t xml:space="preserve">수신자/제목/본문/첨부(미사용) 구성</x:t>
        </x:is>
      </x:c>
      <x:c r="G102" s="10" t="inlineStr">
        <x:is>
          <x:t xml:space="preserve">메일 발송(p3)</x:t>
        </x:is>
      </x:c>
      <x:c r="H102" s="3" t="inlineStr">
        <x:is>
          <x:t xml:space="preserve">6.5</x:t>
        </x:is>
      </x:c>
      <x:c r="I102" s="3" t="inlineStr">
        <x:is>
          <x:t xml:space="preserve">BE</x:t>
        </x:is>
      </x:c>
      <x:c r="J102" s="9" t="inlineStr">
        <x:is>
          <x:t xml:space="preserve">중</x:t>
        </x:is>
      </x:c>
      <x:c r="K102" s="3">
        <x:f>IF($J102="","",VLOOKUP($J102,Assumptions!$A$11:$C$14,2,FALSE))</x:f>
      </x:c>
      <x:c r="L102" s="11">
        <x:f>IF($J102="","",VLOOKUP($J102,Assumptions!$A$11:$C$14,3,FALSE)+Assumptions!$G$11)</x:f>
      </x:c>
      <x:c r="M102" s="3">
        <x:f>IF($K102="","",ROUNDUP($K102*$L102,0))</x:f>
      </x:c>
      <x:c r="N102" s="3">
        <x:f>IF($K102="","",$K102+$M102)</x:f>
      </x:c>
      <x:c r="O102" s="12" t="n"/>
      <x:c r="P102" s="3">
        <x:f>IF($O102="",$N102,$O102)</x:f>
      </x:c>
      <x:c r="Q102" s="13" t="n"/>
      <x:c r="R102" s="3">
        <x:f>IF($Q102="","",ROUND($P102*$Q102,2))</x:f>
      </x:c>
      <x:c r="S102" s="3">
        <x:f>IF($Q102="","",$P102-$R102)</x:f>
      </x:c>
      <x:c r="T102" s="9">
        <x:f>IF($Q102="","미착수",IF($Q102&gt;=1,"완료","진행중"))</x:f>
      </x:c>
      <x:c r="U102" s="14" t="n"/>
      <x:c r="V102" s="15">
        <x:f>IF($U102="","",$U102+$P102-1)</x:f>
      </x:c>
      <x:c r="W102" s="3" t="inlineStr">
        <x:is>
          <x:t xml:space="preserve">sendMail 빌더</x:t>
        </x:is>
      </x:c>
      <x:c r="X102" s="3" t="inlineStr">
        <x:is>
          <x:t xml:space="preserve">p3</x:t>
        </x:is>
      </x:c>
    </x:row>
    <x:row r="103" ht="42" customHeight="1">
      <x:c r="A103" s="9" t="inlineStr">
        <x:is>
          <x:t xml:space="preserve">6.5.2</x:t>
        </x:is>
      </x:c>
      <x:c r="B103" s="3" t="inlineStr">
        <x:is>
          <x:t xml:space="preserve">연동</x:t>
        </x:is>
      </x:c>
      <x:c r="C103" s="3" t="inlineStr">
        <x:is>
          <x:t xml:space="preserve">MS Graph</x:t>
        </x:is>
      </x:c>
      <x:c r="D103" s="3" t="inlineStr">
        <x:is>
          <x:t xml:space="preserve">Mail</x:t>
        </x:is>
      </x:c>
      <x:c r="E103" s="3" t="inlineStr">
        <x:is>
          <x:t xml:space="preserve">수신자 처리(BCC/그룹/제한) 정책 적용</x:t>
        </x:is>
      </x:c>
      <x:c r="F103" s="10" t="inlineStr">
        <x:is>
          <x:t xml:space="preserve">대량 수신시 BCC 사용/그룹 주소 사용 정책</x:t>
        </x:is>
      </x:c>
      <x:c r="G103" s="10" t="inlineStr">
        <x:is>
          <x:t xml:space="preserve">대량 발송 운영</x:t>
        </x:is>
      </x:c>
      <x:c r="H103" s="3" t="inlineStr">
        <x:is>
          <x:t xml:space="preserve">5.9</x:t>
        </x:is>
      </x:c>
      <x:c r="I103" s="3" t="inlineStr">
        <x:is>
          <x:t xml:space="preserve">BE</x:t>
        </x:is>
      </x:c>
      <x:c r="J103" s="9" t="inlineStr">
        <x:is>
          <x:t xml:space="preserve">상</x:t>
        </x:is>
      </x:c>
      <x:c r="K103" s="3">
        <x:f>IF($J103="","",VLOOKUP($J103,Assumptions!$A$11:$C$14,2,FALSE))</x:f>
      </x:c>
      <x:c r="L103" s="11">
        <x:f>IF($J103="","",VLOOKUP($J103,Assumptions!$A$11:$C$14,3,FALSE)+Assumptions!$G$11)</x:f>
      </x:c>
      <x:c r="M103" s="3">
        <x:f>IF($K103="","",ROUNDUP($K103*$L103,0))</x:f>
      </x:c>
      <x:c r="N103" s="3">
        <x:f>IF($K103="","",$K103+$M103)</x:f>
      </x:c>
      <x:c r="O103" s="12" t="n"/>
      <x:c r="P103" s="3">
        <x:f>IF($O103="",$N103,$O103)</x:f>
      </x:c>
      <x:c r="Q103" s="13" t="n"/>
      <x:c r="R103" s="3">
        <x:f>IF($Q103="","",ROUND($P103*$Q103,2))</x:f>
      </x:c>
      <x:c r="S103" s="3">
        <x:f>IF($Q103="","",$P103-$R103)</x:f>
      </x:c>
      <x:c r="T103" s="9">
        <x:f>IF($Q103="","미착수",IF($Q103&gt;=1,"완료","진행중"))</x:f>
      </x:c>
      <x:c r="U103" s="14" t="n"/>
      <x:c r="V103" s="15">
        <x:f>IF($U103="","",$U103+$P103-1)</x:f>
      </x:c>
      <x:c r="W103" s="3" t="inlineStr">
        <x:is>
          <x:t xml:space="preserve">수신자 정책</x:t>
        </x:is>
      </x:c>
      <x:c r="X103" s="3" t="inlineStr">
        <x:is>
          <x:t xml:space="preserve">p4</x:t>
        </x:is>
      </x:c>
    </x:row>
    <x:row r="104" ht="42" customHeight="1">
      <x:c r="A104" s="9" t="inlineStr">
        <x:is>
          <x:t xml:space="preserve">6.5.3</x:t>
        </x:is>
      </x:c>
      <x:c r="B104" s="3" t="inlineStr">
        <x:is>
          <x:t xml:space="preserve">연동</x:t>
        </x:is>
      </x:c>
      <x:c r="C104" s="3" t="inlineStr">
        <x:is>
          <x:t xml:space="preserve">MS Graph</x:t>
        </x:is>
      </x:c>
      <x:c r="D104" s="3" t="inlineStr">
        <x:is>
          <x:t xml:space="preserve">Mail</x:t>
        </x:is>
      </x:c>
      <x:c r="E104" s="3" t="inlineStr">
        <x:is>
          <x:t xml:space="preserve">응답 파싱 및 결과 로그 적재</x:t>
        </x:is>
      </x:c>
      <x:c r="F104" s="10" t="inlineStr">
        <x:is>
          <x:t xml:space="preserve">Graph 응답/에러를 발송 로그에 표준화 저장</x:t>
        </x:is>
      </x:c>
      <x:c r="G104" s="10" t="inlineStr">
        <x:is>
          <x:t xml:space="preserve">History(p5)</x:t>
        </x:is>
      </x:c>
      <x:c r="H104" s="3" t="inlineStr">
        <x:is>
          <x:t xml:space="preserve">7.1</x:t>
        </x:is>
      </x:c>
      <x:c r="I104" s="3" t="inlineStr">
        <x:is>
          <x:t xml:space="preserve">BE</x:t>
        </x:is>
      </x:c>
      <x:c r="J104" s="9" t="inlineStr">
        <x:is>
          <x:t xml:space="preserve">중</x:t>
        </x:is>
      </x:c>
      <x:c r="K104" s="3">
        <x:f>IF($J104="","",VLOOKUP($J104,Assumptions!$A$11:$C$14,2,FALSE))</x:f>
      </x:c>
      <x:c r="L104" s="11">
        <x:f>IF($J104="","",VLOOKUP($J104,Assumptions!$A$11:$C$14,3,FALSE)+Assumptions!$G$11)</x:f>
      </x:c>
      <x:c r="M104" s="3">
        <x:f>IF($K104="","",ROUNDUP($K104*$L104,0))</x:f>
      </x:c>
      <x:c r="N104" s="3">
        <x:f>IF($K104="","",$K104+$M104)</x:f>
      </x:c>
      <x:c r="O104" s="12" t="n"/>
      <x:c r="P104" s="3">
        <x:f>IF($O104="",$N104,$O104)</x:f>
      </x:c>
      <x:c r="Q104" s="13" t="n"/>
      <x:c r="R104" s="3">
        <x:f>IF($Q104="","",ROUND($P104*$Q104,2))</x:f>
      </x:c>
      <x:c r="S104" s="3">
        <x:f>IF($Q104="","",$P104-$R104)</x:f>
      </x:c>
      <x:c r="T104" s="9">
        <x:f>IF($Q104="","미착수",IF($Q104&gt;=1,"완료","진행중"))</x:f>
      </x:c>
      <x:c r="U104" s="14" t="n"/>
      <x:c r="V104" s="15">
        <x:f>IF($U104="","",$U104+$P104-1)</x:f>
      </x:c>
      <x:c r="W104" s="3" t="inlineStr">
        <x:is>
          <x:t xml:space="preserve">응답 로그</x:t>
        </x:is>
      </x:c>
      <x:c r="X104" s="3" t="inlineStr">
        <x:is>
          <x:t xml:space="preserve">p5</x:t>
        </x:is>
      </x:c>
    </x:row>
    <x:row r="105" ht="42" customHeight="1">
      <x:c r="A105" s="9" t="inlineStr">
        <x:is>
          <x:t xml:space="preserve">6.6.1</x:t>
        </x:is>
      </x:c>
      <x:c r="B105" s="3" t="inlineStr">
        <x:is>
          <x:t xml:space="preserve">연동</x:t>
        </x:is>
      </x:c>
      <x:c r="C105" s="3" t="inlineStr">
        <x:is>
          <x:t xml:space="preserve">MS Graph</x:t>
        </x:is>
      </x:c>
      <x:c r="D105" s="3" t="inlineStr">
        <x:is>
          <x:t xml:space="preserve">Calendar</x:t>
        </x:is>
      </x:c>
      <x:c r="E105" s="3" t="inlineStr">
        <x:is>
          <x:t xml:space="preserve">이벤트 생성 페이로드/필드 매핑</x:t>
        </x:is>
      </x:c>
      <x:c r="F105" s="10" t="inlineStr">
        <x:is>
          <x:t xml:space="preserve">시작/종료/시간대/본문 매핑 및 테스트</x:t>
        </x:is>
      </x:c>
      <x:c r="G105" s="10" t="inlineStr">
        <x:is>
          <x:t xml:space="preserve">일정 등록(p3-4)</x:t>
        </x:is>
      </x:c>
      <x:c r="H105" s="3" t="inlineStr">
        <x:is>
          <x:t xml:space="preserve">6.6</x:t>
        </x:is>
      </x:c>
      <x:c r="I105" s="3" t="inlineStr">
        <x:is>
          <x:t xml:space="preserve">BE</x:t>
        </x:is>
      </x:c>
      <x:c r="J105" s="9" t="inlineStr">
        <x:is>
          <x:t xml:space="preserve">중</x:t>
        </x:is>
      </x:c>
      <x:c r="K105" s="3">
        <x:f>IF($J105="","",VLOOKUP($J105,Assumptions!$A$11:$C$14,2,FALSE))</x:f>
      </x:c>
      <x:c r="L105" s="11">
        <x:f>IF($J105="","",VLOOKUP($J105,Assumptions!$A$11:$C$14,3,FALSE)+Assumptions!$G$11)</x:f>
      </x:c>
      <x:c r="M105" s="3">
        <x:f>IF($K105="","",ROUNDUP($K105*$L105,0))</x:f>
      </x:c>
      <x:c r="N105" s="3">
        <x:f>IF($K105="","",$K105+$M105)</x:f>
      </x:c>
      <x:c r="O105" s="12" t="n"/>
      <x:c r="P105" s="3">
        <x:f>IF($O105="",$N105,$O105)</x:f>
      </x:c>
      <x:c r="Q105" s="13" t="n"/>
      <x:c r="R105" s="3">
        <x:f>IF($Q105="","",ROUND($P105*$Q105,2))</x:f>
      </x:c>
      <x:c r="S105" s="3">
        <x:f>IF($Q105="","",$P105-$R105)</x:f>
      </x:c>
      <x:c r="T105" s="9">
        <x:f>IF($Q105="","미착수",IF($Q105&gt;=1,"완료","진행중"))</x:f>
      </x:c>
      <x:c r="U105" s="14" t="n"/>
      <x:c r="V105" s="15">
        <x:f>IF($U105="","",$U105+$P105-1)</x:f>
      </x:c>
      <x:c r="W105" s="3" t="inlineStr">
        <x:is>
          <x:t xml:space="preserve">이벤트 빌더</x:t>
        </x:is>
      </x:c>
      <x:c r="X105" s="3" t="inlineStr">
        <x:is>
          <x:t xml:space="preserve">p3-4</x:t>
        </x:is>
      </x:c>
    </x:row>
    <x:row r="106" ht="42" customHeight="1">
      <x:c r="A106" s="9" t="inlineStr">
        <x:is>
          <x:t xml:space="preserve">6.6.2</x:t>
        </x:is>
      </x:c>
      <x:c r="B106" s="3" t="inlineStr">
        <x:is>
          <x:t xml:space="preserve">연동</x:t>
        </x:is>
      </x:c>
      <x:c r="C106" s="3" t="inlineStr">
        <x:is>
          <x:t xml:space="preserve">MS Graph</x:t>
        </x:is>
      </x:c>
      <x:c r="D106" s="3" t="inlineStr">
        <x:is>
          <x:t xml:space="preserve">Calendar</x:t>
        </x:is>
      </x:c>
      <x:c r="E106" s="3" t="inlineStr">
        <x:is>
          <x:t xml:space="preserve">공지 변경 시 이벤트 업데이트 규칙</x:t>
        </x:is>
      </x:c>
      <x:c r="F106" s="10" t="inlineStr">
        <x:is>
          <x:t xml:space="preserve">공지 수정/취소 시 이벤트 수정/삭제 정책</x:t>
        </x:is>
      </x:c>
      <x:c r="G106" s="10" t="inlineStr">
        <x:is>
          <x:t xml:space="preserve">정합성</x:t>
        </x:is>
      </x:c>
      <x:c r="H106" s="3" t="inlineStr">
        <x:is>
          <x:t xml:space="preserve">4.7</x:t>
        </x:is>
      </x:c>
      <x:c r="I106" s="3" t="inlineStr">
        <x:is>
          <x:t xml:space="preserve">BE</x:t>
        </x:is>
      </x:c>
      <x:c r="J106" s="9" t="inlineStr">
        <x:is>
          <x:t xml:space="preserve">상</x:t>
        </x:is>
      </x:c>
      <x:c r="K106" s="3">
        <x:f>IF($J106="","",VLOOKUP($J106,Assumptions!$A$11:$C$14,2,FALSE))</x:f>
      </x:c>
      <x:c r="L106" s="11">
        <x:f>IF($J106="","",VLOOKUP($J106,Assumptions!$A$11:$C$14,3,FALSE)+Assumptions!$G$11)</x:f>
      </x:c>
      <x:c r="M106" s="3">
        <x:f>IF($K106="","",ROUNDUP($K106*$L106,0))</x:f>
      </x:c>
      <x:c r="N106" s="3">
        <x:f>IF($K106="","",$K106+$M106)</x:f>
      </x:c>
      <x:c r="O106" s="12" t="n"/>
      <x:c r="P106" s="3">
        <x:f>IF($O106="",$N106,$O106)</x:f>
      </x:c>
      <x:c r="Q106" s="13" t="n"/>
      <x:c r="R106" s="3">
        <x:f>IF($Q106="","",ROUND($P106*$Q106,2))</x:f>
      </x:c>
      <x:c r="S106" s="3">
        <x:f>IF($Q106="","",$P106-$R106)</x:f>
      </x:c>
      <x:c r="T106" s="9">
        <x:f>IF($Q106="","미착수",IF($Q106&gt;=1,"완료","진행중"))</x:f>
      </x:c>
      <x:c r="U106" s="14" t="n"/>
      <x:c r="V106" s="15">
        <x:f>IF($U106="","",$U106+$P106-1)</x:f>
      </x:c>
      <x:c r="W106" s="3" t="inlineStr">
        <x:is>
          <x:t xml:space="preserve">업데이트/삭제 로직</x:t>
        </x:is>
      </x:c>
      <x:c r="X106" s="3" t="inlineStr">
        <x:is>
          <x:t xml:space="preserve">p4</x:t>
        </x:is>
      </x:c>
    </x:row>
    <x:row r="107" ht="42" customHeight="1">
      <x:c r="A107" s="9" t="inlineStr">
        <x:is>
          <x:t xml:space="preserve">6.6.3</x:t>
        </x:is>
      </x:c>
      <x:c r="B107" s="3" t="inlineStr">
        <x:is>
          <x:t xml:space="preserve">연동</x:t>
        </x:is>
      </x:c>
      <x:c r="C107" s="3" t="inlineStr">
        <x:is>
          <x:t xml:space="preserve">MS Graph</x:t>
        </x:is>
      </x:c>
      <x:c r="D107" s="3" t="inlineStr">
        <x:is>
          <x:t xml:space="preserve">Calendar</x:t>
        </x:is>
      </x:c>
      <x:c r="E107" s="3" t="inlineStr">
        <x:is>
          <x:t xml:space="preserve">시간대/서머타임 처리 검증</x:t>
        </x:is>
      </x:c>
      <x:c r="F107" s="10" t="inlineStr">
        <x:is>
          <x:t xml:space="preserve">KST 고정 여부, 시간대 설정 오류 방지</x:t>
        </x:is>
      </x:c>
      <x:c r="G107" s="10" t="inlineStr">
        <x:is>
          <x:t xml:space="preserve">운영 리스크</x:t>
        </x:is>
      </x:c>
      <x:c r="H107" s="3" t="inlineStr">
        <x:is>
          <x:t xml:space="preserve">6.6.1</x:t>
        </x:is>
      </x:c>
      <x:c r="I107" s="3" t="inlineStr">
        <x:is>
          <x:t xml:space="preserve">BE</x:t>
        </x:is>
      </x:c>
      <x:c r="J107" s="9" t="inlineStr">
        <x:is>
          <x:t xml:space="preserve">중</x:t>
        </x:is>
      </x:c>
      <x:c r="K107" s="3">
        <x:f>IF($J107="","",VLOOKUP($J107,Assumptions!$A$11:$C$14,2,FALSE))</x:f>
      </x:c>
      <x:c r="L107" s="11">
        <x:f>IF($J107="","",VLOOKUP($J107,Assumptions!$A$11:$C$14,3,FALSE)+Assumptions!$G$11)</x:f>
      </x:c>
      <x:c r="M107" s="3">
        <x:f>IF($K107="","",ROUNDUP($K107*$L107,0))</x:f>
      </x:c>
      <x:c r="N107" s="3">
        <x:f>IF($K107="","",$K107+$M107)</x:f>
      </x:c>
      <x:c r="O107" s="12" t="n"/>
      <x:c r="P107" s="3">
        <x:f>IF($O107="",$N107,$O107)</x:f>
      </x:c>
      <x:c r="Q107" s="13" t="n"/>
      <x:c r="R107" s="3">
        <x:f>IF($Q107="","",ROUND($P107*$Q107,2))</x:f>
      </x:c>
      <x:c r="S107" s="3">
        <x:f>IF($Q107="","",$P107-$R107)</x:f>
      </x:c>
      <x:c r="T107" s="9">
        <x:f>IF($Q107="","미착수",IF($Q107&gt;=1,"완료","진행중"))</x:f>
      </x:c>
      <x:c r="U107" s="14" t="n"/>
      <x:c r="V107" s="15">
        <x:f>IF($U107="","",$U107+$P107-1)</x:f>
      </x:c>
      <x:c r="W107" s="3" t="inlineStr">
        <x:is>
          <x:t xml:space="preserve">시간대 검증</x:t>
        </x:is>
      </x:c>
      <x:c r="X107" s="3" t="inlineStr">
        <x:is>
          <x:t xml:space="preserve">p3-4</x:t>
        </x:is>
      </x:c>
    </x:row>
    <x:row r="108" ht="42" customHeight="1">
      <x:c r="A108" s="9" t="inlineStr">
        <x:is>
          <x:t xml:space="preserve">7.5.1</x:t>
        </x:is>
      </x:c>
      <x:c r="B108" s="3" t="inlineStr">
        <x:is>
          <x:t xml:space="preserve">개발</x:t>
        </x:is>
      </x:c>
      <x:c r="C108" s="3" t="inlineStr">
        <x:is>
          <x:t xml:space="preserve">대시보드</x:t>
        </x:is>
      </x:c>
      <x:c r="D108" s="3" t="inlineStr">
        <x:is>
          <x:t xml:space="preserve">Monthly</x:t>
        </x:is>
      </x:c>
      <x:c r="E108" s="3" t="inlineStr">
        <x:is>
          <x:t xml:space="preserve">월간뷰 조회 쿼리/집계 구현</x:t>
        </x:is>
      </x:c>
      <x:c r="F108" s="10" t="inlineStr">
        <x:is>
          <x:t xml:space="preserve">기간별 공지/점검 일정 조회 최적화</x:t>
        </x:is>
      </x:c>
      <x:c r="G108" s="10" t="inlineStr">
        <x:is>
          <x:t xml:space="preserve">Monthly View(p6)</x:t>
        </x:is>
      </x:c>
      <x:c r="H108" s="3" t="inlineStr">
        <x:is>
          <x:t xml:space="preserve">7.5</x:t>
        </x:is>
      </x:c>
      <x:c r="I108" s="3" t="inlineStr">
        <x:is>
          <x:t xml:space="preserve">BE</x:t>
        </x:is>
      </x:c>
      <x:c r="J108" s="9" t="inlineStr">
        <x:is>
          <x:t xml:space="preserve">중</x:t>
        </x:is>
      </x:c>
      <x:c r="K108" s="3">
        <x:f>IF($J108="","",VLOOKUP($J108,Assumptions!$A$11:$C$14,2,FALSE))</x:f>
      </x:c>
      <x:c r="L108" s="11">
        <x:f>IF($J108="","",VLOOKUP($J108,Assumptions!$A$11:$C$14,3,FALSE)+Assumptions!$G$11)</x:f>
      </x:c>
      <x:c r="M108" s="3">
        <x:f>IF($K108="","",ROUNDUP($K108*$L108,0))</x:f>
      </x:c>
      <x:c r="N108" s="3">
        <x:f>IF($K108="","",$K108+$M108)</x:f>
      </x:c>
      <x:c r="O108" s="12" t="n"/>
      <x:c r="P108" s="3">
        <x:f>IF($O108="",$N108,$O108)</x:f>
      </x:c>
      <x:c r="Q108" s="13" t="n"/>
      <x:c r="R108" s="3">
        <x:f>IF($Q108="","",ROUND($P108*$Q108,2))</x:f>
      </x:c>
      <x:c r="S108" s="3">
        <x:f>IF($Q108="","",$P108-$R108)</x:f>
      </x:c>
      <x:c r="T108" s="9">
        <x:f>IF($Q108="","미착수",IF($Q108&gt;=1,"완료","진행중"))</x:f>
      </x:c>
      <x:c r="U108" s="14" t="n"/>
      <x:c r="V108" s="15">
        <x:f>IF($U108="","",$U108+$P108-1)</x:f>
      </x:c>
      <x:c r="W108" s="3" t="inlineStr">
        <x:is>
          <x:t xml:space="preserve">월간 집계 API</x:t>
        </x:is>
      </x:c>
      <x:c r="X108" s="3" t="inlineStr">
        <x:is>
          <x:t xml:space="preserve">p6</x:t>
        </x:is>
      </x:c>
    </x:row>
    <x:row r="109" ht="42" customHeight="1">
      <x:c r="A109" s="9" t="inlineStr">
        <x:is>
          <x:t xml:space="preserve">7.5.2</x:t>
        </x:is>
      </x:c>
      <x:c r="B109" s="3" t="inlineStr">
        <x:is>
          <x:t xml:space="preserve">개발</x:t>
        </x:is>
      </x:c>
      <x:c r="C109" s="3" t="inlineStr">
        <x:is>
          <x:t xml:space="preserve">대시보드</x:t>
        </x:is>
      </x:c>
      <x:c r="D109" s="3" t="inlineStr">
        <x:is>
          <x:t xml:space="preserve">Monthly</x:t>
        </x:is>
      </x:c>
      <x:c r="E109" s="3" t="inlineStr">
        <x:is>
          <x:t xml:space="preserve">캘린더 UI 렌더링/상호작용</x:t>
        </x:is>
      </x:c>
      <x:c r="F109" s="10" t="inlineStr">
        <x:is>
          <x:t xml:space="preserve">일별 표시, 중요도 색/표시, 상태(완료) 표기</x:t>
        </x:is>
      </x:c>
      <x:c r="G109" s="10" t="inlineStr">
        <x:is>
          <x:t xml:space="preserve">Monthly View(p6)</x:t>
        </x:is>
      </x:c>
      <x:c r="H109" s="3" t="inlineStr">
        <x:is>
          <x:t xml:space="preserve">7.5</x:t>
        </x:is>
      </x:c>
      <x:c r="I109" s="3" t="inlineStr">
        <x:is>
          <x:t xml:space="preserve">FE</x:t>
        </x:is>
      </x:c>
      <x:c r="J109" s="9" t="inlineStr">
        <x:is>
          <x:t xml:space="preserve">상</x:t>
        </x:is>
      </x:c>
      <x:c r="K109" s="3">
        <x:f>IF($J109="","",VLOOKUP($J109,Assumptions!$A$11:$C$14,2,FALSE))</x:f>
      </x:c>
      <x:c r="L109" s="11">
        <x:f>IF($J109="","",VLOOKUP($J109,Assumptions!$A$11:$C$14,3,FALSE)+Assumptions!$G$11)</x:f>
      </x:c>
      <x:c r="M109" s="3">
        <x:f>IF($K109="","",ROUNDUP($K109*$L109,0))</x:f>
      </x:c>
      <x:c r="N109" s="3">
        <x:f>IF($K109="","",$K109+$M109)</x:f>
      </x:c>
      <x:c r="O109" s="12" t="n"/>
      <x:c r="P109" s="3">
        <x:f>IF($O109="",$N109,$O109)</x:f>
      </x:c>
      <x:c r="Q109" s="13" t="n"/>
      <x:c r="R109" s="3">
        <x:f>IF($Q109="","",ROUND($P109*$Q109,2))</x:f>
      </x:c>
      <x:c r="S109" s="3">
        <x:f>IF($Q109="","",$P109-$R109)</x:f>
      </x:c>
      <x:c r="T109" s="9">
        <x:f>IF($Q109="","미착수",IF($Q109&gt;=1,"완료","진행중"))</x:f>
      </x:c>
      <x:c r="U109" s="14" t="n"/>
      <x:c r="V109" s="15">
        <x:f>IF($U109="","",$U109+$P109-1)</x:f>
      </x:c>
      <x:c r="W109" s="3" t="inlineStr">
        <x:is>
          <x:t xml:space="preserve">캘린더 UI</x:t>
        </x:is>
      </x:c>
      <x:c r="X109" s="3" t="inlineStr">
        <x:is>
          <x:t xml:space="preserve">p6</x:t>
        </x:is>
      </x:c>
    </x:row>
    <x:row r="110" ht="42" customHeight="1">
      <x:c r="A110" s="9" t="inlineStr">
        <x:is>
          <x:t xml:space="preserve">7.5.3</x:t>
        </x:is>
      </x:c>
      <x:c r="B110" s="3" t="inlineStr">
        <x:is>
          <x:t xml:space="preserve">개발</x:t>
        </x:is>
      </x:c>
      <x:c r="C110" s="3" t="inlineStr">
        <x:is>
          <x:t xml:space="preserve">대시보드</x:t>
        </x:is>
      </x:c>
      <x:c r="D110" s="3" t="inlineStr">
        <x:is>
          <x:t xml:space="preserve">Monthly</x:t>
        </x:is>
      </x:c>
      <x:c r="E110" s="3" t="inlineStr">
        <x:is>
          <x:t xml:space="preserve">캘린더 클릭 시 상세 팝업/드릴다운</x:t>
        </x:is>
      </x:c>
      <x:c r="F110" s="10" t="inlineStr">
        <x:is>
          <x:t xml:space="preserve">일정/공지 상세 정보 팝업, 링크 이동</x:t>
        </x:is>
      </x:c>
      <x:c r="G110" s="10" t="inlineStr">
        <x:is>
          <x:t xml:space="preserve">운영 편의</x:t>
        </x:is>
      </x:c>
      <x:c r="H110" s="3" t="inlineStr">
        <x:is>
          <x:t xml:space="preserve">7.5.2</x:t>
        </x:is>
      </x:c>
      <x:c r="I110" s="3" t="inlineStr">
        <x:is>
          <x:t xml:space="preserve">FE/BE</x:t>
        </x:is>
      </x:c>
      <x:c r="J110" s="9" t="inlineStr">
        <x:is>
          <x:t xml:space="preserve">중</x:t>
        </x:is>
      </x:c>
      <x:c r="K110" s="3">
        <x:f>IF($J110="","",VLOOKUP($J110,Assumptions!$A$11:$C$14,2,FALSE))</x:f>
      </x:c>
      <x:c r="L110" s="11">
        <x:f>IF($J110="","",VLOOKUP($J110,Assumptions!$A$11:$C$14,3,FALSE)+Assumptions!$G$11)</x:f>
      </x:c>
      <x:c r="M110" s="3">
        <x:f>IF($K110="","",ROUNDUP($K110*$L110,0))</x:f>
      </x:c>
      <x:c r="N110" s="3">
        <x:f>IF($K110="","",$K110+$M110)</x:f>
      </x:c>
      <x:c r="O110" s="12" t="n"/>
      <x:c r="P110" s="3">
        <x:f>IF($O110="",$N110,$O110)</x:f>
      </x:c>
      <x:c r="Q110" s="13" t="n"/>
      <x:c r="R110" s="3">
        <x:f>IF($Q110="","",ROUND($P110*$Q110,2))</x:f>
      </x:c>
      <x:c r="S110" s="3">
        <x:f>IF($Q110="","",$P110-$R110)</x:f>
      </x:c>
      <x:c r="T110" s="9">
        <x:f>IF($Q110="","미착수",IF($Q110&gt;=1,"완료","진행중"))</x:f>
      </x:c>
      <x:c r="U110" s="14" t="n"/>
      <x:c r="V110" s="15">
        <x:f>IF($U110="","",$U110+$P110-1)</x:f>
      </x:c>
      <x:c r="W110" s="3" t="inlineStr">
        <x:is>
          <x:t xml:space="preserve">드릴다운</x:t>
        </x:is>
      </x:c>
      <x:c r="X110" s="3" t="inlineStr">
        <x:is>
          <x:t xml:space="preserve">p6-7</x:t>
        </x:is>
      </x:c>
    </x:row>
    <x:row r="111" ht="42" customHeight="1">
      <x:c r="A111" s="9" t="inlineStr">
        <x:is>
          <x:t xml:space="preserve">7.3.1</x:t>
        </x:is>
      </x:c>
      <x:c r="B111" s="3" t="inlineStr">
        <x:is>
          <x:t xml:space="preserve">개발</x:t>
        </x:is>
      </x:c>
      <x:c r="C111" s="3" t="inlineStr">
        <x:is>
          <x:t xml:space="preserve">이력</x:t>
        </x:is>
      </x:c>
      <x:c r="D111" s="3" t="inlineStr">
        <x:is>
          <x:t xml:space="preserve">History UI</x:t>
        </x:is>
      </x:c>
      <x:c r="E111" s="3" t="inlineStr">
        <x:is>
          <x:t xml:space="preserve">History 상세(실패사유/수신대상) 화면</x:t>
        </x:is>
      </x:c>
      <x:c r="F111" s="10" t="inlineStr">
        <x:is>
          <x:t xml:space="preserve">발송 실패 사유/수신 대상/Graph 응답 표시</x:t>
        </x:is>
      </x:c>
      <x:c r="G111" s="10" t="inlineStr">
        <x:is>
          <x:t xml:space="preserve">발송실패(p5)</x:t>
        </x:is>
      </x:c>
      <x:c r="H111" s="3" t="inlineStr">
        <x:is>
          <x:t xml:space="preserve">7.3</x:t>
        </x:is>
      </x:c>
      <x:c r="I111" s="3" t="inlineStr">
        <x:is>
          <x:t xml:space="preserve">FE</x:t>
        </x:is>
      </x:c>
      <x:c r="J111" s="9" t="inlineStr">
        <x:is>
          <x:t xml:space="preserve">중</x:t>
        </x:is>
      </x:c>
      <x:c r="K111" s="3">
        <x:f>IF($J111="","",VLOOKUP($J111,Assumptions!$A$11:$C$14,2,FALSE))</x:f>
      </x:c>
      <x:c r="L111" s="11">
        <x:f>IF($J111="","",VLOOKUP($J111,Assumptions!$A$11:$C$14,3,FALSE)+Assumptions!$G$11)</x:f>
      </x:c>
      <x:c r="M111" s="3">
        <x:f>IF($K111="","",ROUNDUP($K111*$L111,0))</x:f>
      </x:c>
      <x:c r="N111" s="3">
        <x:f>IF($K111="","",$K111+$M111)</x:f>
      </x:c>
      <x:c r="O111" s="12" t="n"/>
      <x:c r="P111" s="3">
        <x:f>IF($O111="",$N111,$O111)</x:f>
      </x:c>
      <x:c r="Q111" s="13" t="n"/>
      <x:c r="R111" s="3">
        <x:f>IF($Q111="","",ROUND($P111*$Q111,2))</x:f>
      </x:c>
      <x:c r="S111" s="3">
        <x:f>IF($Q111="","",$P111-$R111)</x:f>
      </x:c>
      <x:c r="T111" s="9">
        <x:f>IF($Q111="","미착수",IF($Q111&gt;=1,"완료","진행중"))</x:f>
      </x:c>
      <x:c r="U111" s="14" t="n"/>
      <x:c r="V111" s="15">
        <x:f>IF($U111="","",$U111+$P111-1)</x:f>
      </x:c>
      <x:c r="W111" s="3" t="inlineStr">
        <x:is>
          <x:t xml:space="preserve">History 상세</x:t>
        </x:is>
      </x:c>
      <x:c r="X111" s="3" t="inlineStr">
        <x:is>
          <x:t xml:space="preserve">p5</x:t>
        </x:is>
      </x:c>
    </x:row>
    <x:row r="112" ht="42" customHeight="1">
      <x:c r="A112" s="9" t="inlineStr">
        <x:is>
          <x:t xml:space="preserve">7.4.1</x:t>
        </x:is>
      </x:c>
      <x:c r="B112" s="3" t="inlineStr">
        <x:is>
          <x:t xml:space="preserve">개발</x:t>
        </x:is>
      </x:c>
      <x:c r="C112" s="3" t="inlineStr">
        <x:is>
          <x:t xml:space="preserve">이력</x:t>
        </x:is>
      </x:c>
      <x:c r="D112" s="3" t="inlineStr">
        <x:is>
          <x:t xml:space="preserve">History API</x:t>
        </x:is>
      </x:c>
      <x:c r="E112" s="3" t="inlineStr">
        <x:is>
          <x:t xml:space="preserve">검색 인덱스/성능 튜닝</x:t>
        </x:is>
      </x:c>
      <x:c r="F112" s="10" t="inlineStr">
        <x:is>
          <x:t xml:space="preserve">기간/법인/부서/상태 조회 성능</x:t>
        </x:is>
      </x:c>
      <x:c r="G112" s="10" t="inlineStr">
        <x:is>
          <x:t xml:space="preserve">검색기간(p5)</x:t>
        </x:is>
      </x:c>
      <x:c r="H112" s="3" t="inlineStr">
        <x:is>
          <x:t xml:space="preserve">7.4</x:t>
        </x:is>
      </x:c>
      <x:c r="I112" s="3" t="inlineStr">
        <x:is>
          <x:t xml:space="preserve">BE/DBA</x:t>
        </x:is>
      </x:c>
      <x:c r="J112" s="9" t="inlineStr">
        <x:is>
          <x:t xml:space="preserve">중</x:t>
        </x:is>
      </x:c>
      <x:c r="K112" s="3">
        <x:f>IF($J112="","",VLOOKUP($J112,Assumptions!$A$11:$C$14,2,FALSE))</x:f>
      </x:c>
      <x:c r="L112" s="11">
        <x:f>IF($J112="","",VLOOKUP($J112,Assumptions!$A$11:$C$14,3,FALSE)+Assumptions!$G$11)</x:f>
      </x:c>
      <x:c r="M112" s="3">
        <x:f>IF($K112="","",ROUNDUP($K112*$L112,0))</x:f>
      </x:c>
      <x:c r="N112" s="3">
        <x:f>IF($K112="","",$K112+$M112)</x:f>
      </x:c>
      <x:c r="O112" s="12" t="n"/>
      <x:c r="P112" s="3">
        <x:f>IF($O112="",$N112,$O112)</x:f>
      </x:c>
      <x:c r="Q112" s="13" t="n"/>
      <x:c r="R112" s="3">
        <x:f>IF($Q112="","",ROUND($P112*$Q112,2))</x:f>
      </x:c>
      <x:c r="S112" s="3">
        <x:f>IF($Q112="","",$P112-$R112)</x:f>
      </x:c>
      <x:c r="T112" s="9">
        <x:f>IF($Q112="","미착수",IF($Q112&gt;=1,"완료","진행중"))</x:f>
      </x:c>
      <x:c r="U112" s="14" t="n"/>
      <x:c r="V112" s="15">
        <x:f>IF($U112="","",$U112+$P112-1)</x:f>
      </x:c>
      <x:c r="W112" s="3" t="inlineStr">
        <x:is>
          <x:t xml:space="preserve">인덱스 적용</x:t>
        </x:is>
      </x:c>
      <x:c r="X112" s="3" t="inlineStr">
        <x:is>
          <x:t xml:space="preserve">p5</x:t>
        </x:is>
      </x:c>
    </x:row>
    <x:row r="113" ht="42" customHeight="1">
      <x:c r="A113" s="9" t="inlineStr">
        <x:is>
          <x:t xml:space="preserve">8.3.1</x:t>
        </x:is>
      </x:c>
      <x:c r="B113" s="3" t="inlineStr">
        <x:is>
          <x:t xml:space="preserve">확장</x:t>
        </x:is>
      </x:c>
      <x:c r="C113" s="3" t="inlineStr">
        <x:is>
          <x:t xml:space="preserve">알림채널</x:t>
        </x:is>
      </x:c>
      <x:c r="D113" s="3" t="inlineStr">
        <x:is>
          <x:t xml:space="preserve">API Guide</x:t>
        </x:is>
      </x:c>
      <x:c r="E113" s="3" t="inlineStr">
        <x:is>
          <x:t xml:space="preserve">연계 가이드 목차/샘플 페이로드 작성</x:t>
        </x:is>
      </x:c>
      <x:c r="F113" s="10" t="inlineStr">
        <x:is>
          <x:t xml:space="preserve">예시 요청/응답, 오류코드, 버전관리</x:t>
        </x:is>
      </x:c>
      <x:c r="G113" s="10" t="inlineStr">
        <x:is>
          <x:t xml:space="preserve">Guide(p9)</x:t>
        </x:is>
      </x:c>
      <x:c r="H113" s="3" t="inlineStr">
        <x:is>
          <x:t xml:space="preserve">8.3</x:t>
        </x:is>
      </x:c>
      <x:c r="I113" s="3" t="inlineStr">
        <x:is>
          <x:t xml:space="preserve">Arch/BE</x:t>
        </x:is>
      </x:c>
      <x:c r="J113" s="9" t="inlineStr">
        <x:is>
          <x:t xml:space="preserve">하</x:t>
        </x:is>
      </x:c>
      <x:c r="K113" s="3">
        <x:f>IF($J113="","",VLOOKUP($J113,Assumptions!$A$11:$C$14,2,FALSE))</x:f>
      </x:c>
      <x:c r="L113" s="11">
        <x:f>IF($J113="","",VLOOKUP($J113,Assumptions!$A$11:$C$14,3,FALSE)+Assumptions!$G$11)</x:f>
      </x:c>
      <x:c r="M113" s="3">
        <x:f>IF($K113="","",ROUNDUP($K113*$L113,0))</x:f>
      </x:c>
      <x:c r="N113" s="3">
        <x:f>IF($K113="","",$K113+$M113)</x:f>
      </x:c>
      <x:c r="O113" s="12" t="n"/>
      <x:c r="P113" s="3">
        <x:f>IF($O113="",$N113,$O113)</x:f>
      </x:c>
      <x:c r="Q113" s="13" t="n"/>
      <x:c r="R113" s="3">
        <x:f>IF($Q113="","",ROUND($P113*$Q113,2))</x:f>
      </x:c>
      <x:c r="S113" s="3">
        <x:f>IF($Q113="","",$P113-$R113)</x:f>
      </x:c>
      <x:c r="T113" s="9">
        <x:f>IF($Q113="","미착수",IF($Q113&gt;=1,"완료","진행중"))</x:f>
      </x:c>
      <x:c r="U113" s="14" t="n"/>
      <x:c r="V113" s="15">
        <x:f>IF($U113="","",$U113+$P113-1)</x:f>
      </x:c>
      <x:c r="W113" s="3" t="inlineStr">
        <x:is>
          <x:t xml:space="preserve">가이드 초안</x:t>
        </x:is>
      </x:c>
      <x:c r="X113" s="3" t="inlineStr">
        <x:is>
          <x:t xml:space="preserve">p9</x:t>
        </x:is>
      </x:c>
    </x:row>
    <x:row r="114" ht="42" customHeight="1">
      <x:c r="A114" s="9" t="inlineStr">
        <x:is>
          <x:t xml:space="preserve">8.3.2</x:t>
        </x:is>
      </x:c>
      <x:c r="B114" s="3" t="inlineStr">
        <x:is>
          <x:t xml:space="preserve">확장</x:t>
        </x:is>
      </x:c>
      <x:c r="C114" s="3" t="inlineStr">
        <x:is>
          <x:t xml:space="preserve">알림채널</x:t>
        </x:is>
      </x:c>
      <x:c r="D114" s="3" t="inlineStr">
        <x:is>
          <x:t xml:space="preserve">API Guide</x:t>
        </x:is>
      </x:c>
      <x:c r="E114" s="3" t="inlineStr">
        <x:is>
          <x:t xml:space="preserve">보안/인증 방식 정의</x:t>
        </x:is>
      </x:c>
      <x:c r="F114" s="10" t="inlineStr">
        <x:is>
          <x:t xml:space="preserve">API 키/JWT/망연계 고려</x:t>
        </x:is>
      </x:c>
      <x:c r="G114" s="10" t="inlineStr">
        <x:is>
          <x:t xml:space="preserve">연계 보안</x:t>
        </x:is>
      </x:c>
      <x:c r="H114" s="3" t="inlineStr">
        <x:is>
          <x:t xml:space="preserve">8.3</x:t>
        </x:is>
      </x:c>
      <x:c r="I114" s="3" t="inlineStr">
        <x:is>
          <x:t xml:space="preserve">Arch/보안</x:t>
        </x:is>
      </x:c>
      <x:c r="J114" s="9" t="inlineStr">
        <x:is>
          <x:t xml:space="preserve">중</x:t>
        </x:is>
      </x:c>
      <x:c r="K114" s="3">
        <x:f>IF($J114="","",VLOOKUP($J114,Assumptions!$A$11:$C$14,2,FALSE))</x:f>
      </x:c>
      <x:c r="L114" s="11">
        <x:f>IF($J114="","",VLOOKUP($J114,Assumptions!$A$11:$C$14,3,FALSE)+Assumptions!$G$11)</x:f>
      </x:c>
      <x:c r="M114" s="3">
        <x:f>IF($K114="","",ROUNDUP($K114*$L114,0))</x:f>
      </x:c>
      <x:c r="N114" s="3">
        <x:f>IF($K114="","",$K114+$M114)</x:f>
      </x:c>
      <x:c r="O114" s="12" t="n"/>
      <x:c r="P114" s="3">
        <x:f>IF($O114="",$N114,$O114)</x:f>
      </x:c>
      <x:c r="Q114" s="13" t="n"/>
      <x:c r="R114" s="3">
        <x:f>IF($Q114="","",ROUND($P114*$Q114,2))</x:f>
      </x:c>
      <x:c r="S114" s="3">
        <x:f>IF($Q114="","",$P114-$R114)</x:f>
      </x:c>
      <x:c r="T114" s="9">
        <x:f>IF($Q114="","미착수",IF($Q114&gt;=1,"완료","진행중"))</x:f>
      </x:c>
      <x:c r="U114" s="14" t="n"/>
      <x:c r="V114" s="15">
        <x:f>IF($U114="","",$U114+$P114-1)</x:f>
      </x:c>
      <x:c r="W114" s="3" t="inlineStr">
        <x:is>
          <x:t xml:space="preserve">보안 규격</x:t>
        </x:is>
      </x:c>
      <x:c r="X114" s="3" t="inlineStr">
        <x:is>
          <x:t xml:space="preserve">p9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8b382c99d4347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0" customWidth="1"/>
    <x:col min="4" max="4" width="44" customWidth="1"/>
    <x:col min="6" max="6" width="18" customWidth="1"/>
    <x:col min="7" max="7" width="22" customWidth="1"/>
  </x:cols>
  <x:sheetData>
    <x:row r="1" ht="18" customHeight="1">
      <x:c r="A1" s="16" t="inlineStr">
        <x:is>
          <x:t xml:space="preserve">산정 기준(기본값)</x:t>
        </x:is>
      </x:c>
    </x:row>
    <x:row r="2" ht="18" customHeight="1"/>
    <x:row r="3" ht="18" customHeight="1">
      <x:c r="A3" s="17" t="inlineStr">
        <x:is>
          <x:t xml:space="preserve">판단 근거</x:t>
        </x:is>
      </x:c>
    </x:row>
    <x:row r="4" ht="18" customHeight="1">
      <x:c r="A4" s="18" t="inlineStr">
        <x:is>
          <x:t xml:space="preserve">• 1 Task는 통상 1~2일 내 완료 가능한 단위로 분해(기획/개발/테스트 포함).</x:t>
        </x:is>
      </x:c>
    </x:row>
    <x:row r="5" ht="18" customHeight="1">
      <x:c r="A5" s="18" t="inlineStr">
        <x:is>
          <x:t xml:space="preserve">• 공수(일)는 '기준공수(복잡도)' + '버퍼(연동/운영 리스크)'로 계산.</x:t>
        </x:is>
      </x:c>
    </x:row>
    <x:row r="6" ht="18" customHeight="1">
      <x:c r="A6" s="18" t="inlineStr">
        <x:is>
          <x:t xml:space="preserve">• MS Graph/Outlook 연동은 권한/인증/정책 이슈 가능성이 높아 버퍼를 크게 설정.</x:t>
        </x:is>
      </x:c>
    </x:row>
    <x:row r="7" ht="18" customHeight="1">
      <x:c r="A7" s="18" t="inlineStr">
        <x:is>
          <x:t xml:space="preserve">• 진행률(%)을 입력하면 완료/잔여 공수가 자동 계산됨.</x:t>
        </x:is>
      </x:c>
    </x:row>
    <x:row r="8" ht="18" customHeight="1"/>
    <x:row r="9" ht="18" customHeight="1"/>
    <x:row r="10" ht="18" customHeight="1">
      <x:c r="A10" s="8" t="inlineStr">
        <x:is>
          <x:t xml:space="preserve">복잡도</x:t>
        </x:is>
      </x:c>
      <x:c r="B10" s="8" t="inlineStr">
        <x:is>
          <x:t xml:space="preserve">기준공수(일)</x:t>
        </x:is>
      </x:c>
      <x:c r="C10" s="8" t="inlineStr">
        <x:is>
          <x:t xml:space="preserve">버퍼율</x:t>
        </x:is>
      </x:c>
      <x:c r="D10" s="8" t="inlineStr">
        <x:is>
          <x:t xml:space="preserve">설명</x:t>
        </x:is>
      </x:c>
      <x:c r="F10" s="17" t="inlineStr">
        <x:is>
          <x:t xml:space="preserve">기준일(As-of)</x:t>
        </x:is>
      </x:c>
      <x:c r="G10" s="19" t="n">
        <x:v>46008</x:v>
      </x:c>
    </x:row>
    <x:row r="11" ht="18" customHeight="1">
      <x:c r="A11" s="9" t="inlineStr">
        <x:is>
          <x:t xml:space="preserve">하</x:t>
        </x:is>
      </x:c>
      <x:c r="B11" s="9" t="n">
        <x:v>1</x:v>
      </x:c>
      <x:c r="C11" s="20" t="n">
        <x:v>0.1</x:v>
      </x:c>
      <x:c r="D11" s="3" t="inlineStr">
        <x:is>
          <x:t xml:space="preserve">단순 조회/표시/경미한 수정</x:t>
        </x:is>
      </x:c>
      <x:c r="F11" s="17" t="inlineStr">
        <x:is>
          <x:t xml:space="preserve">총 버퍼 추가 적용(선택)</x:t>
        </x:is>
      </x:c>
      <x:c r="G11" s="21" t="n">
        <x:v>0</x:v>
      </x:c>
    </x:row>
    <x:row r="12" ht="18" customHeight="1">
      <x:c r="A12" s="9" t="inlineStr">
        <x:is>
          <x:t xml:space="preserve">중</x:t>
        </x:is>
      </x:c>
      <x:c r="B12" s="9" t="n">
        <x:v>3</x:v>
      </x:c>
      <x:c r="C12" s="20" t="n">
        <x:v>0.15</x:v>
      </x:c>
      <x:c r="D12" s="3" t="inlineStr">
        <x:is>
          <x:t xml:space="preserve">일반 CRUD/검증/목록+필터</x:t>
        </x:is>
      </x:c>
      <x:c r="F12" s="17" t="inlineStr">
        <x:is>
          <x:t xml:space="preserve">진행률 입력 방식</x:t>
        </x:is>
      </x:c>
      <x:c r="G12" s="18" t="inlineStr">
        <x:is>
          <x:t xml:space="preserve">0%~100% (예: 30%)</x:t>
        </x:is>
      </x:c>
    </x:row>
    <x:row r="13" ht="18" customHeight="1">
      <x:c r="A13" s="9" t="inlineStr">
        <x:is>
          <x:t xml:space="preserve">상</x:t>
        </x:is>
      </x:c>
      <x:c r="B13" s="9" t="n">
        <x:v>5</x:v>
      </x:c>
      <x:c r="C13" s="20" t="n">
        <x:v>0.2</x:v>
      </x:c>
      <x:c r="D13" s="3" t="inlineStr">
        <x:is>
          <x:t xml:space="preserve">승인/스케줄/대시보드 등 비즈로직</x:t>
        </x:is>
      </x:c>
    </x:row>
    <x:row r="14" ht="18" customHeight="1">
      <x:c r="A14" s="9" t="inlineStr">
        <x:is>
          <x:t xml:space="preserve">초상</x:t>
        </x:is>
      </x:c>
      <x:c r="B14" s="9" t="n">
        <x:v>7</x:v>
      </x:c>
      <x:c r="C14" s="20" t="n">
        <x:v>0.25</x:v>
      </x:c>
      <x:c r="D14" s="3" t="inlineStr">
        <x:is>
          <x:t xml:space="preserve">외부 연동(MS Graph), 재시도/동시성/보안</x:t>
        </x:is>
      </x:c>
    </x:row>
    <x:row r="15" ht="18" customHeight="1"/>
    <x:row r="16" ht="18" customHeight="1"/>
    <x:row r="17" ht="18" customHeight="1"/>
    <x:row r="18" ht="18" customHeight="1"/>
    <x:row r="19" ht="18" customHeight="1"/>
  </x:sheetData>
  <x:mergeCells>
    <x:mergeCell ref="A1:D1"/>
    <x:mergeCell ref="A5:D5"/>
    <x:mergeCell ref="A6:D6"/>
    <x:mergeCell ref="A4:D4"/>
    <x:mergeCell ref="A3:D3"/>
    <x:mergeCell ref="A7:D7"/>
  </x:mergeCells>
  <x:pageMargins left="0.7" right="0.7" top="0.75" bottom="0.75" header="0.3" footer="0.3"/>
</x:worksheet>
</file>