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/>
  <mc:AlternateContent xmlns:mc="http://schemas.openxmlformats.org/markup-compatibility/2006">
    <mc:Choice Requires="x15">
      <x15ac:absPath xmlns:x15ac="http://schemas.microsoft.com/office/spreadsheetml/2010/11/ac" url="C:\NoticeGate\작업 분류 구조도(WBS)\"/>
    </mc:Choice>
  </mc:AlternateContent>
  <xr:revisionPtr revIDLastSave="92" documentId="13_ncr:1_{DC1F81F1-D521-4462-9AF6-1B9692324753}" xr6:coauthVersionLast="47" xr6:coauthVersionMax="47" xr10:uidLastSave="{A916472E-B0DB-4E7C-9AE7-A3817BEF1360}"/>
  <bookViews>
    <workbookView xWindow="-120" yWindow="-120" windowWidth="29040" windowHeight="15720" tabRatio="500" xr2:uid="{00000000-000D-0000-FFFF-FFFF00000000}"/>
  </bookViews>
  <sheets>
    <sheet name="WB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O50" i="1" l="1"/>
  <c r="O49" i="1"/>
  <c r="O46" i="1"/>
  <c r="O47" i="1"/>
  <c r="O45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27" i="1"/>
  <c r="O18" i="1"/>
  <c r="O19" i="1"/>
  <c r="O20" i="1"/>
  <c r="O21" i="1"/>
  <c r="O22" i="1"/>
  <c r="O23" i="1"/>
  <c r="O24" i="1"/>
  <c r="O25" i="1"/>
  <c r="O17" i="1"/>
  <c r="O12" i="1"/>
  <c r="O13" i="1"/>
  <c r="O14" i="1"/>
  <c r="O15" i="1"/>
  <c r="O11" i="1"/>
  <c r="F8" i="1"/>
  <c r="H8" i="1" l="1"/>
</calcChain>
</file>

<file path=xl/sharedStrings.xml><?xml version="1.0" encoding="utf-8"?>
<sst xmlns="http://schemas.openxmlformats.org/spreadsheetml/2006/main" count="386" uniqueCount="226">
  <si>
    <r>
      <t xml:space="preserve">IT </t>
    </r>
    <r>
      <rPr>
        <b/>
        <sz val="18"/>
        <color rgb="FF333333"/>
        <rFont val="맑은 고딕"/>
        <family val="3"/>
        <charset val="129"/>
      </rPr>
      <t>공지관리</t>
    </r>
    <r>
      <rPr>
        <b/>
        <sz val="18"/>
        <color rgb="FF333333"/>
        <rFont val="Arial"/>
        <family val="2"/>
      </rPr>
      <t xml:space="preserve"> </t>
    </r>
    <r>
      <rPr>
        <b/>
        <sz val="18"/>
        <color rgb="FF333333"/>
        <rFont val="맑은 고딕"/>
        <family val="3"/>
        <charset val="129"/>
      </rPr>
      <t>시스템</t>
    </r>
    <r>
      <rPr>
        <b/>
        <sz val="18"/>
        <color rgb="FF333333"/>
        <rFont val="Arial"/>
        <family val="2"/>
      </rPr>
      <t xml:space="preserve"> </t>
    </r>
    <r>
      <rPr>
        <b/>
        <sz val="18"/>
        <color rgb="FF333333"/>
        <rFont val="Malgun Gothic"/>
        <family val="3"/>
        <charset val="129"/>
      </rPr>
      <t>WBS</t>
    </r>
    <phoneticPr fontId="16" type="noConversion"/>
  </si>
  <si>
    <r>
      <rPr>
        <sz val="9"/>
        <color rgb="FF666666"/>
        <rFont val="Noto Sans CJK SC"/>
        <family val="2"/>
      </rPr>
      <t>프로젝트 기간</t>
    </r>
    <r>
      <rPr>
        <sz val="9"/>
        <color rgb="FF666666"/>
        <rFont val="Malgun Gothic"/>
        <family val="3"/>
        <charset val="129"/>
      </rPr>
      <t>: 2025-12-18 ~ 2026-02-28 (</t>
    </r>
    <r>
      <rPr>
        <sz val="9"/>
        <color rgb="FF666666"/>
        <rFont val="Noto Sans CJK SC"/>
        <family val="2"/>
      </rPr>
      <t xml:space="preserve">총 </t>
    </r>
    <r>
      <rPr>
        <sz val="9"/>
        <color rgb="FF666666"/>
        <rFont val="Malgun Gothic"/>
        <family val="3"/>
        <charset val="129"/>
      </rPr>
      <t>11</t>
    </r>
    <r>
      <rPr>
        <sz val="9"/>
        <color rgb="FF666666"/>
        <rFont val="Noto Sans CJK SC"/>
        <family val="2"/>
      </rPr>
      <t>주</t>
    </r>
    <r>
      <rPr>
        <sz val="9"/>
        <color rgb="FF666666"/>
        <rFont val="Malgun Gothic"/>
        <family val="3"/>
        <charset val="129"/>
      </rPr>
      <t xml:space="preserve">) | </t>
    </r>
    <r>
      <rPr>
        <sz val="9"/>
        <color rgb="FF666666"/>
        <rFont val="Noto Sans CJK SC"/>
        <family val="2"/>
      </rPr>
      <t>현재 진행</t>
    </r>
    <r>
      <rPr>
        <sz val="9"/>
        <color rgb="FF666666"/>
        <rFont val="Malgun Gothic"/>
        <family val="3"/>
        <charset val="129"/>
      </rPr>
      <t>: 3</t>
    </r>
    <r>
      <rPr>
        <sz val="9"/>
        <color rgb="FF666666"/>
        <rFont val="Noto Sans CJK SC"/>
        <family val="2"/>
      </rPr>
      <t xml:space="preserve">주차 </t>
    </r>
    <r>
      <rPr>
        <sz val="9"/>
        <color rgb="FF666666"/>
        <rFont val="Malgun Gothic"/>
        <family val="3"/>
        <charset val="129"/>
      </rPr>
      <t xml:space="preserve">(2026-01-08 </t>
    </r>
    <r>
      <rPr>
        <sz val="9"/>
        <color rgb="FF666666"/>
        <rFont val="Noto Sans CJK SC"/>
        <family val="2"/>
      </rPr>
      <t>기준</t>
    </r>
    <r>
      <rPr>
        <sz val="9"/>
        <color rgb="FF666666"/>
        <rFont val="Malgun Gothic"/>
        <family val="3"/>
        <charset val="129"/>
      </rPr>
      <t xml:space="preserve">) | </t>
    </r>
    <r>
      <rPr>
        <sz val="9"/>
        <color rgb="FF666666"/>
        <rFont val="Noto Sans CJK SC"/>
        <family val="2"/>
      </rPr>
      <t>개발 환경</t>
    </r>
    <r>
      <rPr>
        <sz val="9"/>
        <color rgb="FF666666"/>
        <rFont val="Malgun Gothic"/>
        <family val="3"/>
        <charset val="129"/>
      </rPr>
      <t xml:space="preserve">: JAVA / Spring Boot + PostgreSQL | </t>
    </r>
    <r>
      <rPr>
        <sz val="9"/>
        <color rgb="FF666666"/>
        <rFont val="Noto Sans CJK SC"/>
        <family val="2"/>
      </rPr>
      <t>인력</t>
    </r>
    <r>
      <rPr>
        <sz val="9"/>
        <color rgb="FF666666"/>
        <rFont val="Malgun Gothic"/>
        <family val="3"/>
        <charset val="129"/>
      </rPr>
      <t xml:space="preserve">: </t>
    </r>
    <r>
      <rPr>
        <sz val="9"/>
        <color rgb="FF666666"/>
        <rFont val="Noto Sans CJK SC"/>
        <family val="2"/>
      </rPr>
      <t>단독개발</t>
    </r>
  </si>
  <si>
    <t>이력</t>
    <phoneticPr fontId="16" type="noConversion"/>
  </si>
  <si>
    <t>최초작성</t>
    <phoneticPr fontId="16" type="noConversion"/>
  </si>
  <si>
    <t>버전관리 추가 개발제외 추가</t>
    <phoneticPr fontId="16" type="noConversion"/>
  </si>
  <si>
    <t>개발주차</t>
    <phoneticPr fontId="16" type="noConversion"/>
  </si>
  <si>
    <t>진행주차</t>
    <phoneticPr fontId="16" type="noConversion"/>
  </si>
  <si>
    <t>계획진척률</t>
    <phoneticPr fontId="16" type="noConversion"/>
  </si>
  <si>
    <t>개발진척률</t>
  </si>
  <si>
    <t>WBS</t>
  </si>
  <si>
    <t>단계</t>
  </si>
  <si>
    <t>영역</t>
  </si>
  <si>
    <t>세부작업</t>
  </si>
  <si>
    <r>
      <rPr>
        <b/>
        <sz val="9"/>
        <color rgb="FFFFFFFF"/>
        <rFont val="Noto Sans CJK SC"/>
        <family val="2"/>
      </rPr>
      <t>범위</t>
    </r>
    <r>
      <rPr>
        <b/>
        <sz val="9"/>
        <color rgb="FFFFFFFF"/>
        <rFont val="Malgun Gothic"/>
        <family val="3"/>
        <charset val="129"/>
      </rPr>
      <t>/</t>
    </r>
    <r>
      <rPr>
        <b/>
        <sz val="9"/>
        <color rgb="FFFFFFFF"/>
        <rFont val="Noto Sans CJK SC"/>
        <family val="2"/>
      </rPr>
      <t>설명</t>
    </r>
  </si>
  <si>
    <t>난이도</t>
  </si>
  <si>
    <t>예상공수</t>
  </si>
  <si>
    <t>계획 시작일</t>
  </si>
  <si>
    <t>계획 종료일</t>
  </si>
  <si>
    <t>실제 시작일</t>
  </si>
  <si>
    <t>실제 종료일</t>
  </si>
  <si>
    <t>총공수</t>
  </si>
  <si>
    <r>
      <rPr>
        <b/>
        <sz val="9"/>
        <color rgb="FFFFFFFF"/>
        <rFont val="Noto Sans CJK SC"/>
        <family val="2"/>
      </rPr>
      <t>단계진척률</t>
    </r>
    <r>
      <rPr>
        <b/>
        <sz val="9"/>
        <color rgb="FFFFFFFF"/>
        <rFont val="Malgun Gothic"/>
        <family val="3"/>
        <charset val="129"/>
      </rPr>
      <t>(%)</t>
    </r>
  </si>
  <si>
    <r>
      <rPr>
        <b/>
        <sz val="9"/>
        <color rgb="FFFFFFFF"/>
        <rFont val="Noto Sans CJK SC"/>
        <family val="2"/>
      </rPr>
      <t>가중치</t>
    </r>
    <r>
      <rPr>
        <b/>
        <sz val="9"/>
        <color rgb="FFFFFFFF"/>
        <rFont val="Malgun Gothic"/>
        <family val="3"/>
        <charset val="129"/>
      </rPr>
      <t>(%)</t>
    </r>
  </si>
  <si>
    <r>
      <rPr>
        <b/>
        <sz val="9"/>
        <color rgb="FFFFFFFF"/>
        <rFont val="Noto Sans CJK SC"/>
        <family val="2"/>
      </rPr>
      <t>개발진척률</t>
    </r>
    <r>
      <rPr>
        <b/>
        <sz val="9"/>
        <color rgb="FFFFFFFF"/>
        <rFont val="Malgun Gothic"/>
        <family val="3"/>
        <charset val="129"/>
      </rPr>
      <t>(%)</t>
    </r>
  </si>
  <si>
    <t>산출물</t>
  </si>
  <si>
    <r>
      <rPr>
        <b/>
        <sz val="9"/>
        <color rgb="FFFFFFFF"/>
        <rFont val="Noto Sans CJK SC"/>
        <family val="2"/>
      </rPr>
      <t>리스크</t>
    </r>
    <r>
      <rPr>
        <b/>
        <sz val="9"/>
        <color rgb="FFFFFFFF"/>
        <rFont val="Malgun Gothic"/>
        <family val="3"/>
        <charset val="129"/>
      </rPr>
      <t>/</t>
    </r>
    <r>
      <rPr>
        <b/>
        <sz val="9"/>
        <color rgb="FFFFFFFF"/>
        <rFont val="Noto Sans CJK SC"/>
        <family val="2"/>
      </rPr>
      <t>의존성</t>
    </r>
  </si>
  <si>
    <t>비고</t>
  </si>
  <si>
    <t>삭제</t>
  </si>
  <si>
    <t>1</t>
  </si>
  <si>
    <t>요구분석</t>
  </si>
  <si>
    <t>전체</t>
  </si>
  <si>
    <r>
      <rPr>
        <sz val="9"/>
        <rFont val="Noto Sans CJK SC"/>
        <family val="2"/>
      </rPr>
      <t xml:space="preserve">과제 이해 및 </t>
    </r>
    <r>
      <rPr>
        <sz val="9"/>
        <rFont val="Malgun Gothic"/>
        <family val="3"/>
        <charset val="129"/>
      </rPr>
      <t xml:space="preserve">WBS </t>
    </r>
    <r>
      <rPr>
        <sz val="9"/>
        <rFont val="Noto Sans CJK SC"/>
        <family val="2"/>
      </rPr>
      <t>작성</t>
    </r>
  </si>
  <si>
    <r>
      <rPr>
        <sz val="9"/>
        <rFont val="Noto Sans CJK SC"/>
        <family val="2"/>
      </rPr>
      <t>프로젝트 목적</t>
    </r>
    <r>
      <rPr>
        <sz val="9"/>
        <rFont val="Malgun Gothic"/>
        <family val="3"/>
        <charset val="129"/>
      </rPr>
      <t>/</t>
    </r>
    <r>
      <rPr>
        <sz val="9"/>
        <rFont val="Noto Sans CJK SC"/>
        <family val="2"/>
      </rPr>
      <t>범위</t>
    </r>
    <r>
      <rPr>
        <sz val="9"/>
        <rFont val="Malgun Gothic"/>
        <family val="3"/>
        <charset val="129"/>
      </rPr>
      <t xml:space="preserve">, WBS </t>
    </r>
    <r>
      <rPr>
        <sz val="9"/>
        <rFont val="Noto Sans CJK SC"/>
        <family val="2"/>
      </rPr>
      <t>작성</t>
    </r>
  </si>
  <si>
    <t>중</t>
  </si>
  <si>
    <t>2025-12-18</t>
  </si>
  <si>
    <t>2025-12-19</t>
  </si>
  <si>
    <t>-</t>
  </si>
  <si>
    <t>1.1</t>
  </si>
  <si>
    <t>제안서</t>
  </si>
  <si>
    <t>제안서 리뷰 및 요구사항 추출</t>
  </si>
  <si>
    <r>
      <rPr>
        <sz val="9"/>
        <rFont val="Malgun Gothic"/>
        <family val="3"/>
        <charset val="129"/>
      </rPr>
      <t xml:space="preserve">PDF </t>
    </r>
    <r>
      <rPr>
        <sz val="9"/>
        <rFont val="Noto Sans CJK SC"/>
        <family val="2"/>
      </rPr>
      <t>분석</t>
    </r>
    <r>
      <rPr>
        <sz val="9"/>
        <rFont val="Malgun Gothic"/>
        <family val="3"/>
        <charset val="129"/>
      </rPr>
      <t xml:space="preserve">, </t>
    </r>
    <r>
      <rPr>
        <sz val="9"/>
        <rFont val="Noto Sans CJK SC"/>
        <family val="2"/>
      </rPr>
      <t>기능 목록화</t>
    </r>
  </si>
  <si>
    <t>2026-01-02</t>
  </si>
  <si>
    <t>기능목록</t>
  </si>
  <si>
    <t>1.2</t>
  </si>
  <si>
    <t>현황조사</t>
  </si>
  <si>
    <t>기존 채널 조사</t>
  </si>
  <si>
    <r>
      <rPr>
        <sz val="9"/>
        <rFont val="Noto Sans CJK SC"/>
        <family val="2"/>
      </rPr>
      <t>메일</t>
    </r>
    <r>
      <rPr>
        <sz val="9"/>
        <rFont val="Malgun Gothic"/>
        <family val="3"/>
        <charset val="129"/>
      </rPr>
      <t>/Teams/</t>
    </r>
    <r>
      <rPr>
        <sz val="9"/>
        <rFont val="Noto Sans CJK SC"/>
        <family val="2"/>
      </rPr>
      <t>포털 현황</t>
    </r>
  </si>
  <si>
    <t>하</t>
  </si>
  <si>
    <t>현황문서</t>
  </si>
  <si>
    <t>제외</t>
    <phoneticPr fontId="16" type="noConversion"/>
  </si>
  <si>
    <t>1.3</t>
  </si>
  <si>
    <t>인터뷰</t>
  </si>
  <si>
    <r>
      <rPr>
        <sz val="9"/>
        <rFont val="Noto Sans CJK SC"/>
        <family val="2"/>
      </rPr>
      <t xml:space="preserve">팀장 </t>
    </r>
    <r>
      <rPr>
        <sz val="9"/>
        <rFont val="Malgun Gothic"/>
        <family val="3"/>
        <charset val="129"/>
      </rPr>
      <t>Q&amp;A</t>
    </r>
  </si>
  <si>
    <r>
      <rPr>
        <sz val="9"/>
        <rFont val="Noto Sans CJK SC"/>
        <family val="2"/>
      </rPr>
      <t>질문 준비</t>
    </r>
    <r>
      <rPr>
        <sz val="9"/>
        <rFont val="Malgun Gothic"/>
        <family val="3"/>
        <charset val="129"/>
      </rPr>
      <t xml:space="preserve">, </t>
    </r>
    <r>
      <rPr>
        <sz val="9"/>
        <rFont val="Noto Sans CJK SC"/>
        <family val="2"/>
      </rPr>
      <t>미팅</t>
    </r>
    <r>
      <rPr>
        <sz val="9"/>
        <rFont val="Malgun Gothic"/>
        <family val="3"/>
        <charset val="129"/>
      </rPr>
      <t xml:space="preserve">, </t>
    </r>
    <r>
      <rPr>
        <sz val="9"/>
        <rFont val="Noto Sans CJK SC"/>
        <family val="2"/>
      </rPr>
      <t>회의록</t>
    </r>
  </si>
  <si>
    <t>회의록</t>
  </si>
  <si>
    <t>팀장일정</t>
  </si>
  <si>
    <t>1.4</t>
  </si>
  <si>
    <t>정리</t>
  </si>
  <si>
    <t>요구사항 확정</t>
  </si>
  <si>
    <r>
      <rPr>
        <sz val="9"/>
        <rFont val="Noto Sans CJK SC"/>
        <family val="2"/>
      </rPr>
      <t>통합 정리</t>
    </r>
    <r>
      <rPr>
        <sz val="9"/>
        <rFont val="Malgun Gothic"/>
        <family val="3"/>
        <charset val="129"/>
      </rPr>
      <t xml:space="preserve">, </t>
    </r>
    <r>
      <rPr>
        <sz val="9"/>
        <rFont val="Noto Sans CJK SC"/>
        <family val="2"/>
      </rPr>
      <t>우선순위</t>
    </r>
  </si>
  <si>
    <t>요구정의서</t>
  </si>
  <si>
    <t>설계기준</t>
  </si>
  <si>
    <r>
      <rPr>
        <b/>
        <sz val="9"/>
        <color rgb="FF333333"/>
        <rFont val="Malgun Gothic"/>
        <family val="3"/>
        <charset val="129"/>
      </rPr>
      <t xml:space="preserve">M1: 2026-01-02 </t>
    </r>
    <r>
      <rPr>
        <b/>
        <sz val="9"/>
        <color rgb="FF333333"/>
        <rFont val="Noto Sans CJK SC"/>
      </rPr>
      <t>요구사항 분석 완료</t>
    </r>
  </si>
  <si>
    <t>2</t>
  </si>
  <si>
    <t>설계</t>
  </si>
  <si>
    <t>도메인</t>
  </si>
  <si>
    <t>도메인 모델</t>
  </si>
  <si>
    <t>Notice/Recipient/History</t>
  </si>
  <si>
    <t>도메인모델</t>
  </si>
  <si>
    <t>DDD</t>
  </si>
  <si>
    <t>2.1</t>
  </si>
  <si>
    <t>DB</t>
  </si>
  <si>
    <t>테이블 설계</t>
  </si>
  <si>
    <r>
      <rPr>
        <sz val="9"/>
        <rFont val="Noto Sans CJK SC"/>
        <family val="2"/>
      </rPr>
      <t>공지</t>
    </r>
    <r>
      <rPr>
        <sz val="9"/>
        <rFont val="Malgun Gothic"/>
        <family val="3"/>
        <charset val="129"/>
      </rPr>
      <t>/</t>
    </r>
    <r>
      <rPr>
        <sz val="9"/>
        <rFont val="Noto Sans CJK SC"/>
        <family val="2"/>
      </rPr>
      <t>수신</t>
    </r>
    <r>
      <rPr>
        <sz val="9"/>
        <rFont val="Malgun Gothic"/>
        <family val="3"/>
        <charset val="129"/>
      </rPr>
      <t>/</t>
    </r>
    <r>
      <rPr>
        <sz val="9"/>
        <rFont val="Noto Sans CJK SC"/>
        <family val="2"/>
      </rPr>
      <t>이력 테이블</t>
    </r>
  </si>
  <si>
    <t>상</t>
  </si>
  <si>
    <t>2026-01-05</t>
  </si>
  <si>
    <t>ERD</t>
  </si>
  <si>
    <t>PG</t>
  </si>
  <si>
    <t>2.2</t>
  </si>
  <si>
    <r>
      <rPr>
        <sz val="9"/>
        <rFont val="Noto Sans CJK SC"/>
        <family val="2"/>
      </rPr>
      <t>인덱스</t>
    </r>
    <r>
      <rPr>
        <sz val="9"/>
        <rFont val="Malgun Gothic"/>
        <family val="3"/>
        <charset val="129"/>
      </rPr>
      <t>/</t>
    </r>
    <r>
      <rPr>
        <sz val="9"/>
        <rFont val="Noto Sans CJK SC"/>
        <family val="2"/>
      </rPr>
      <t>제약</t>
    </r>
  </si>
  <si>
    <t>PK/FK/Index</t>
  </si>
  <si>
    <t>2026-01-06</t>
  </si>
  <si>
    <r>
      <rPr>
        <sz val="9"/>
        <rFont val="Malgun Gothic"/>
        <family val="3"/>
        <charset val="129"/>
      </rPr>
      <t>DB</t>
    </r>
    <r>
      <rPr>
        <sz val="9"/>
        <rFont val="Noto Sans CJK SC"/>
        <family val="2"/>
      </rPr>
      <t>설계서</t>
    </r>
  </si>
  <si>
    <t>성능</t>
  </si>
  <si>
    <t>2.3</t>
  </si>
  <si>
    <t>화면</t>
  </si>
  <si>
    <r>
      <rPr>
        <sz val="9"/>
        <rFont val="Noto Sans CJK SC"/>
        <family val="2"/>
      </rPr>
      <t>화면설계</t>
    </r>
    <r>
      <rPr>
        <sz val="9"/>
        <rFont val="Malgun Gothic"/>
        <family val="3"/>
        <charset val="129"/>
      </rPr>
      <t>(</t>
    </r>
    <r>
      <rPr>
        <sz val="9"/>
        <rFont val="Noto Sans CJK SC"/>
        <family val="2"/>
      </rPr>
      <t>등록</t>
    </r>
    <r>
      <rPr>
        <sz val="9"/>
        <rFont val="Malgun Gothic"/>
        <family val="3"/>
        <charset val="129"/>
      </rPr>
      <t>/</t>
    </r>
    <r>
      <rPr>
        <sz val="9"/>
        <rFont val="Noto Sans CJK SC"/>
        <family val="2"/>
      </rPr>
      <t>발송</t>
    </r>
    <r>
      <rPr>
        <sz val="9"/>
        <rFont val="Malgun Gothic"/>
        <family val="3"/>
        <charset val="129"/>
      </rPr>
      <t>)</t>
    </r>
  </si>
  <si>
    <r>
      <rPr>
        <sz val="9"/>
        <rFont val="Noto Sans CJK SC"/>
        <family val="2"/>
      </rPr>
      <t>공지등록</t>
    </r>
    <r>
      <rPr>
        <sz val="9"/>
        <rFont val="Malgun Gothic"/>
        <family val="3"/>
        <charset val="129"/>
      </rPr>
      <t xml:space="preserve">, </t>
    </r>
    <r>
      <rPr>
        <sz val="9"/>
        <rFont val="Noto Sans CJK SC"/>
        <family val="2"/>
      </rPr>
      <t xml:space="preserve">발송관리 </t>
    </r>
    <r>
      <rPr>
        <sz val="9"/>
        <rFont val="Malgun Gothic"/>
        <family val="3"/>
        <charset val="129"/>
      </rPr>
      <t>UI</t>
    </r>
  </si>
  <si>
    <t>화면설계서</t>
  </si>
  <si>
    <t>프로젝트 세팅 및 로그인/메인 화면 구현으로 후순위로 밀림</t>
    <phoneticPr fontId="16" type="noConversion"/>
  </si>
  <si>
    <t>2.4</t>
  </si>
  <si>
    <r>
      <rPr>
        <sz val="9"/>
        <rFont val="Noto Sans CJK SC"/>
        <family val="2"/>
      </rPr>
      <t>화면설계</t>
    </r>
    <r>
      <rPr>
        <sz val="9"/>
        <rFont val="Malgun Gothic"/>
        <family val="3"/>
        <charset val="129"/>
      </rPr>
      <t>(</t>
    </r>
    <r>
      <rPr>
        <sz val="9"/>
        <rFont val="Noto Sans CJK SC"/>
        <family val="2"/>
      </rPr>
      <t>캘린더</t>
    </r>
    <r>
      <rPr>
        <sz val="9"/>
        <rFont val="Malgun Gothic"/>
        <family val="3"/>
        <charset val="129"/>
      </rPr>
      <t>/</t>
    </r>
    <r>
      <rPr>
        <sz val="9"/>
        <rFont val="Noto Sans CJK SC"/>
        <family val="2"/>
      </rPr>
      <t>대시보드</t>
    </r>
    <r>
      <rPr>
        <sz val="9"/>
        <rFont val="Malgun Gothic"/>
        <family val="3"/>
        <charset val="129"/>
      </rPr>
      <t>)</t>
    </r>
  </si>
  <si>
    <r>
      <rPr>
        <sz val="9"/>
        <rFont val="Noto Sans CJK SC"/>
        <family val="2"/>
      </rPr>
      <t>캘린더</t>
    </r>
    <r>
      <rPr>
        <sz val="9"/>
        <rFont val="Malgun Gothic"/>
        <family val="3"/>
        <charset val="129"/>
      </rPr>
      <t xml:space="preserve">, </t>
    </r>
    <r>
      <rPr>
        <sz val="9"/>
        <rFont val="Noto Sans CJK SC"/>
        <family val="2"/>
      </rPr>
      <t xml:space="preserve">대시보드 </t>
    </r>
    <r>
      <rPr>
        <sz val="9"/>
        <rFont val="Malgun Gothic"/>
        <family val="3"/>
        <charset val="129"/>
      </rPr>
      <t>UI</t>
    </r>
  </si>
  <si>
    <t>2.5</t>
  </si>
  <si>
    <t>플로우</t>
  </si>
  <si>
    <r>
      <rPr>
        <sz val="9"/>
        <rFont val="Noto Sans CJK SC"/>
        <family val="2"/>
      </rPr>
      <t>상태전이</t>
    </r>
    <r>
      <rPr>
        <sz val="9"/>
        <rFont val="Malgun Gothic"/>
        <family val="3"/>
        <charset val="129"/>
      </rPr>
      <t>/</t>
    </r>
    <r>
      <rPr>
        <sz val="9"/>
        <rFont val="Noto Sans CJK SC"/>
        <family val="2"/>
      </rPr>
      <t>승인플로우</t>
    </r>
  </si>
  <si>
    <t>작성→승인→발송→완료</t>
  </si>
  <si>
    <t>플로우도</t>
  </si>
  <si>
    <t>2.6</t>
  </si>
  <si>
    <t>연동</t>
  </si>
  <si>
    <r>
      <rPr>
        <sz val="9"/>
        <rFont val="Malgun Gothic"/>
        <family val="3"/>
        <charset val="129"/>
      </rPr>
      <t xml:space="preserve">Graph API </t>
    </r>
    <r>
      <rPr>
        <sz val="9"/>
        <rFont val="Noto Sans CJK SC"/>
        <family val="2"/>
      </rPr>
      <t>설계</t>
    </r>
  </si>
  <si>
    <r>
      <rPr>
        <sz val="9"/>
        <rFont val="Noto Sans CJK SC"/>
        <family val="2"/>
      </rPr>
      <t>메일</t>
    </r>
    <r>
      <rPr>
        <sz val="9"/>
        <rFont val="Malgun Gothic"/>
        <family val="3"/>
        <charset val="129"/>
      </rPr>
      <t>/</t>
    </r>
    <r>
      <rPr>
        <sz val="9"/>
        <rFont val="Noto Sans CJK SC"/>
        <family val="2"/>
      </rPr>
      <t xml:space="preserve">캘린더 </t>
    </r>
    <r>
      <rPr>
        <sz val="9"/>
        <rFont val="Malgun Gothic"/>
        <family val="3"/>
        <charset val="129"/>
      </rPr>
      <t xml:space="preserve">API </t>
    </r>
    <r>
      <rPr>
        <sz val="9"/>
        <rFont val="Noto Sans CJK SC"/>
        <family val="2"/>
      </rPr>
      <t>설계</t>
    </r>
  </si>
  <si>
    <r>
      <rPr>
        <sz val="9"/>
        <rFont val="Malgun Gothic"/>
        <family val="3"/>
        <charset val="129"/>
      </rPr>
      <t>API</t>
    </r>
    <r>
      <rPr>
        <sz val="9"/>
        <rFont val="Noto Sans CJK SC"/>
        <family val="2"/>
      </rPr>
      <t>설계서</t>
    </r>
  </si>
  <si>
    <t>권한필요</t>
  </si>
  <si>
    <t>토큰</t>
  </si>
  <si>
    <t>2.7</t>
  </si>
  <si>
    <t>템플릿</t>
  </si>
  <si>
    <t>메일 템플릿</t>
  </si>
  <si>
    <t>유형별 템플릿 설계</t>
  </si>
  <si>
    <t>2.8</t>
  </si>
  <si>
    <t>테스트</t>
  </si>
  <si>
    <t>테스트 전략</t>
  </si>
  <si>
    <r>
      <rPr>
        <sz val="9"/>
        <rFont val="Noto Sans CJK SC"/>
        <family val="2"/>
      </rPr>
      <t>단위</t>
    </r>
    <r>
      <rPr>
        <sz val="9"/>
        <rFont val="Malgun Gothic"/>
        <family val="3"/>
        <charset val="129"/>
      </rPr>
      <t>/</t>
    </r>
    <r>
      <rPr>
        <sz val="9"/>
        <rFont val="Noto Sans CJK SC"/>
        <family val="2"/>
      </rPr>
      <t>통합 시나리오</t>
    </r>
  </si>
  <si>
    <t>테스트전략</t>
  </si>
  <si>
    <r>
      <rPr>
        <b/>
        <sz val="9"/>
        <color rgb="FF333333"/>
        <rFont val="Malgun Gothic"/>
        <family val="3"/>
        <charset val="129"/>
      </rPr>
      <t xml:space="preserve">M2: 2026-01-14 </t>
    </r>
    <r>
      <rPr>
        <b/>
        <sz val="9"/>
        <color rgb="FF333333"/>
        <rFont val="Noto Sans CJK SC"/>
        <family val="2"/>
      </rPr>
      <t>설계 완료</t>
    </r>
  </si>
  <si>
    <t>3</t>
  </si>
  <si>
    <t>개발</t>
  </si>
  <si>
    <t>환경</t>
  </si>
  <si>
    <t>프로젝트 세팅</t>
  </si>
  <si>
    <t>Spring Boot+PostgreSQL</t>
  </si>
  <si>
    <t>프로젝트</t>
  </si>
  <si>
    <t>노트북</t>
  </si>
  <si>
    <t>개발</t>
    <phoneticPr fontId="16" type="noConversion"/>
  </si>
  <si>
    <t>로그인</t>
    <phoneticPr fontId="16" type="noConversion"/>
  </si>
  <si>
    <t>로그인 로그아웃 구현</t>
    <phoneticPr fontId="16" type="noConversion"/>
  </si>
  <si>
    <t>oauth2 인증방식 구현</t>
    <phoneticPr fontId="16" type="noConversion"/>
  </si>
  <si>
    <t>중</t>
    <phoneticPr fontId="16" type="noConversion"/>
  </si>
  <si>
    <r>
      <rPr>
        <sz val="9"/>
        <rFont val="맑은 고딕"/>
        <family val="3"/>
        <charset val="129"/>
      </rPr>
      <t>로그인</t>
    </r>
    <r>
      <rPr>
        <sz val="9"/>
        <rFont val="Noto Sans CJK SC"/>
        <family val="2"/>
      </rPr>
      <t>화면</t>
    </r>
    <phoneticPr fontId="16" type="noConversion"/>
  </si>
  <si>
    <r>
      <rPr>
        <sz val="9"/>
        <rFont val="Noto Sans CJK SC"/>
        <family val="2"/>
      </rPr>
      <t>엔티티</t>
    </r>
    <r>
      <rPr>
        <sz val="9"/>
        <rFont val="Malgun Gothic"/>
        <family val="3"/>
        <charset val="129"/>
      </rPr>
      <t>/Repository</t>
    </r>
  </si>
  <si>
    <r>
      <rPr>
        <sz val="9"/>
        <rFont val="Malgun Gothic"/>
        <family val="3"/>
        <charset val="129"/>
      </rPr>
      <t xml:space="preserve">JPA </t>
    </r>
    <r>
      <rPr>
        <sz val="9"/>
        <rFont val="Noto Sans CJK SC"/>
        <family val="2"/>
      </rPr>
      <t>엔티티</t>
    </r>
    <r>
      <rPr>
        <sz val="9"/>
        <rFont val="Malgun Gothic"/>
        <family val="3"/>
        <charset val="129"/>
      </rPr>
      <t>, Repository</t>
    </r>
  </si>
  <si>
    <t>도메인코드</t>
  </si>
  <si>
    <t>JPA</t>
  </si>
  <si>
    <t>공통</t>
  </si>
  <si>
    <t>공통 모듈</t>
  </si>
  <si>
    <r>
      <rPr>
        <sz val="9"/>
        <rFont val="Noto Sans CJK SC"/>
        <family val="2"/>
      </rPr>
      <t>예외</t>
    </r>
    <r>
      <rPr>
        <sz val="9"/>
        <rFont val="Malgun Gothic"/>
        <family val="3"/>
        <charset val="129"/>
      </rPr>
      <t>/</t>
    </r>
    <r>
      <rPr>
        <sz val="9"/>
        <rFont val="Noto Sans CJK SC"/>
        <family val="2"/>
      </rPr>
      <t>로깅</t>
    </r>
    <r>
      <rPr>
        <sz val="9"/>
        <rFont val="Malgun Gothic"/>
        <family val="3"/>
        <charset val="129"/>
      </rPr>
      <t>/</t>
    </r>
    <r>
      <rPr>
        <sz val="9"/>
        <rFont val="Noto Sans CJK SC"/>
        <family val="2"/>
      </rPr>
      <t>응답</t>
    </r>
  </si>
  <si>
    <t>2026-01-20</t>
  </si>
  <si>
    <t>공통모듈</t>
  </si>
  <si>
    <t>공지</t>
  </si>
  <si>
    <r>
      <rPr>
        <sz val="9"/>
        <rFont val="Noto Sans CJK SC"/>
        <family val="2"/>
      </rPr>
      <t xml:space="preserve">공지 </t>
    </r>
    <r>
      <rPr>
        <sz val="9"/>
        <rFont val="Malgun Gothic"/>
        <family val="3"/>
        <charset val="129"/>
      </rPr>
      <t>CRUD</t>
    </r>
  </si>
  <si>
    <r>
      <rPr>
        <sz val="9"/>
        <rFont val="Noto Sans CJK SC"/>
        <family val="2"/>
      </rPr>
      <t>등록</t>
    </r>
    <r>
      <rPr>
        <sz val="9"/>
        <rFont val="Malgun Gothic"/>
        <family val="3"/>
        <charset val="129"/>
      </rPr>
      <t>/</t>
    </r>
    <r>
      <rPr>
        <sz val="9"/>
        <rFont val="Noto Sans CJK SC"/>
        <family val="2"/>
      </rPr>
      <t>수정</t>
    </r>
    <r>
      <rPr>
        <sz val="9"/>
        <rFont val="Malgun Gothic"/>
        <family val="3"/>
        <charset val="129"/>
      </rPr>
      <t>/</t>
    </r>
    <r>
      <rPr>
        <sz val="9"/>
        <rFont val="Noto Sans CJK SC"/>
        <family val="2"/>
      </rPr>
      <t>조회</t>
    </r>
    <r>
      <rPr>
        <sz val="9"/>
        <rFont val="Malgun Gothic"/>
        <family val="3"/>
        <charset val="129"/>
      </rPr>
      <t>/</t>
    </r>
    <r>
      <rPr>
        <sz val="9"/>
        <rFont val="Noto Sans CJK SC"/>
        <family val="2"/>
      </rPr>
      <t>삭제</t>
    </r>
  </si>
  <si>
    <r>
      <rPr>
        <sz val="9"/>
        <rFont val="Noto Sans CJK SC"/>
        <family val="2"/>
      </rPr>
      <t>공지</t>
    </r>
    <r>
      <rPr>
        <sz val="9"/>
        <rFont val="Malgun Gothic"/>
        <family val="3"/>
        <charset val="129"/>
      </rPr>
      <t>API</t>
    </r>
  </si>
  <si>
    <t>핵심</t>
  </si>
  <si>
    <t>조직도</t>
  </si>
  <si>
    <t>조직도 연동</t>
  </si>
  <si>
    <r>
      <rPr>
        <sz val="9"/>
        <rFont val="Noto Sans CJK SC"/>
        <family val="2"/>
      </rPr>
      <t>법인</t>
    </r>
    <r>
      <rPr>
        <sz val="9"/>
        <rFont val="Malgun Gothic"/>
        <family val="3"/>
        <charset val="129"/>
      </rPr>
      <t>/</t>
    </r>
    <r>
      <rPr>
        <sz val="9"/>
        <rFont val="Noto Sans CJK SC"/>
        <family val="2"/>
      </rPr>
      <t>부서 멀티셀렉트</t>
    </r>
  </si>
  <si>
    <r>
      <rPr>
        <sz val="9"/>
        <rFont val="Noto Sans CJK SC"/>
        <family val="2"/>
      </rPr>
      <t>조직도</t>
    </r>
    <r>
      <rPr>
        <sz val="9"/>
        <rFont val="Malgun Gothic"/>
        <family val="3"/>
        <charset val="129"/>
      </rPr>
      <t>API</t>
    </r>
  </si>
  <si>
    <t>DB 테스트데이터 조회로 변경됨</t>
  </si>
  <si>
    <t>발송</t>
  </si>
  <si>
    <t>승인 플로우</t>
  </si>
  <si>
    <r>
      <rPr>
        <sz val="9"/>
        <rFont val="Noto Sans CJK SC"/>
        <family val="2"/>
      </rPr>
      <t>승인요청</t>
    </r>
    <r>
      <rPr>
        <sz val="9"/>
        <rFont val="Malgun Gothic"/>
        <family val="3"/>
        <charset val="129"/>
      </rPr>
      <t>/</t>
    </r>
    <r>
      <rPr>
        <sz val="9"/>
        <rFont val="Noto Sans CJK SC"/>
        <family val="2"/>
      </rPr>
      <t>승인</t>
    </r>
    <r>
      <rPr>
        <sz val="9"/>
        <rFont val="Malgun Gothic"/>
        <family val="3"/>
        <charset val="129"/>
      </rPr>
      <t>/</t>
    </r>
    <r>
      <rPr>
        <sz val="9"/>
        <rFont val="Noto Sans CJK SC"/>
        <family val="2"/>
      </rPr>
      <t>반려</t>
    </r>
  </si>
  <si>
    <t>2026-01-27</t>
  </si>
  <si>
    <t>승인로직</t>
  </si>
  <si>
    <r>
      <rPr>
        <sz val="9"/>
        <rFont val="Noto Sans CJK SC"/>
        <family val="2"/>
      </rPr>
      <t>상태전이</t>
    </r>
    <r>
      <rPr>
        <sz val="9"/>
        <rFont val="Malgun Gothic"/>
        <family val="3"/>
        <charset val="129"/>
      </rPr>
      <t>/</t>
    </r>
    <r>
      <rPr>
        <sz val="9"/>
        <rFont val="Noto Sans CJK SC"/>
        <family val="2"/>
      </rPr>
      <t>이력</t>
    </r>
  </si>
  <si>
    <r>
      <rPr>
        <sz val="9"/>
        <rFont val="Noto Sans CJK SC"/>
        <family val="2"/>
      </rPr>
      <t>상태관리</t>
    </r>
    <r>
      <rPr>
        <sz val="9"/>
        <rFont val="Malgun Gothic"/>
        <family val="3"/>
        <charset val="129"/>
      </rPr>
      <t>, History</t>
    </r>
  </si>
  <si>
    <t>2026-01-29</t>
  </si>
  <si>
    <t>상태관리</t>
  </si>
  <si>
    <t>Graph</t>
  </si>
  <si>
    <r>
      <rPr>
        <sz val="9"/>
        <rFont val="Malgun Gothic"/>
        <family val="3"/>
        <charset val="129"/>
      </rPr>
      <t xml:space="preserve">Graph </t>
    </r>
    <r>
      <rPr>
        <sz val="9"/>
        <rFont val="Noto Sans CJK SC"/>
        <family val="2"/>
      </rPr>
      <t>메일 발송</t>
    </r>
  </si>
  <si>
    <r>
      <rPr>
        <sz val="9"/>
        <rFont val="Noto Sans CJK SC"/>
        <family val="2"/>
      </rPr>
      <t xml:space="preserve">메일 발송 </t>
    </r>
    <r>
      <rPr>
        <sz val="9"/>
        <rFont val="Malgun Gothic"/>
        <family val="3"/>
        <charset val="129"/>
      </rPr>
      <t>API</t>
    </r>
  </si>
  <si>
    <t>2026-01-31</t>
  </si>
  <si>
    <t>메일발송</t>
  </si>
  <si>
    <t>권한</t>
  </si>
  <si>
    <t>발송엔진</t>
  </si>
  <si>
    <r>
      <rPr>
        <sz val="9"/>
        <rFont val="Noto Sans CJK SC"/>
        <family val="2"/>
      </rPr>
      <t>발송엔진</t>
    </r>
    <r>
      <rPr>
        <sz val="9"/>
        <rFont val="Malgun Gothic"/>
        <family val="3"/>
        <charset val="129"/>
      </rPr>
      <t>(</t>
    </r>
    <r>
      <rPr>
        <sz val="9"/>
        <rFont val="Noto Sans CJK SC"/>
        <family val="2"/>
      </rPr>
      <t>정기</t>
    </r>
    <r>
      <rPr>
        <sz val="9"/>
        <rFont val="Malgun Gothic"/>
        <family val="3"/>
        <charset val="129"/>
      </rPr>
      <t>/</t>
    </r>
    <r>
      <rPr>
        <sz val="9"/>
        <rFont val="Noto Sans CJK SC"/>
        <family val="2"/>
      </rPr>
      <t>즉시</t>
    </r>
    <r>
      <rPr>
        <sz val="9"/>
        <rFont val="Malgun Gothic"/>
        <family val="3"/>
        <charset val="129"/>
      </rPr>
      <t>)</t>
    </r>
  </si>
  <si>
    <r>
      <rPr>
        <sz val="9"/>
        <rFont val="Noto Sans CJK SC"/>
        <family val="2"/>
      </rPr>
      <t>스케줄러</t>
    </r>
    <r>
      <rPr>
        <sz val="9"/>
        <rFont val="Malgun Gothic"/>
        <family val="3"/>
        <charset val="129"/>
      </rPr>
      <t xml:space="preserve">, </t>
    </r>
    <r>
      <rPr>
        <sz val="9"/>
        <rFont val="Noto Sans CJK SC"/>
        <family val="2"/>
      </rPr>
      <t>즉시발송</t>
    </r>
  </si>
  <si>
    <t>2026-02-04</t>
  </si>
  <si>
    <r>
      <rPr>
        <sz val="9"/>
        <rFont val="Noto Sans CJK SC"/>
        <family val="2"/>
      </rPr>
      <t>수신자 매핑</t>
    </r>
    <r>
      <rPr>
        <sz val="9"/>
        <rFont val="Malgun Gothic"/>
        <family val="3"/>
        <charset val="129"/>
      </rPr>
      <t>/</t>
    </r>
    <r>
      <rPr>
        <sz val="9"/>
        <rFont val="Noto Sans CJK SC"/>
        <family val="2"/>
      </rPr>
      <t>재시도</t>
    </r>
  </si>
  <si>
    <r>
      <rPr>
        <sz val="9"/>
        <rFont val="Noto Sans CJK SC"/>
        <family val="2"/>
      </rPr>
      <t>매핑로직</t>
    </r>
    <r>
      <rPr>
        <sz val="9"/>
        <rFont val="Malgun Gothic"/>
        <family val="3"/>
        <charset val="129"/>
      </rPr>
      <t xml:space="preserve">, </t>
    </r>
    <r>
      <rPr>
        <sz val="9"/>
        <rFont val="Noto Sans CJK SC"/>
        <family val="2"/>
      </rPr>
      <t>재시도</t>
    </r>
  </si>
  <si>
    <t>2026-02-06</t>
  </si>
  <si>
    <r>
      <rPr>
        <sz val="9"/>
        <rFont val="Noto Sans CJK SC"/>
        <family val="2"/>
      </rPr>
      <t>매핑</t>
    </r>
    <r>
      <rPr>
        <sz val="9"/>
        <rFont val="Malgun Gothic"/>
        <family val="3"/>
        <charset val="129"/>
      </rPr>
      <t>/</t>
    </r>
    <r>
      <rPr>
        <sz val="9"/>
        <rFont val="Noto Sans CJK SC"/>
        <family val="2"/>
      </rPr>
      <t>재시도</t>
    </r>
  </si>
  <si>
    <t>캘린더 연동</t>
  </si>
  <si>
    <r>
      <rPr>
        <sz val="9"/>
        <rFont val="Malgun Gothic"/>
        <family val="3"/>
        <charset val="129"/>
      </rPr>
      <t xml:space="preserve">Outlook </t>
    </r>
    <r>
      <rPr>
        <sz val="9"/>
        <rFont val="Noto Sans CJK SC"/>
        <family val="2"/>
      </rPr>
      <t>캘린더 등록</t>
    </r>
  </si>
  <si>
    <t>2026-02-10</t>
  </si>
  <si>
    <t>캘린더연동</t>
  </si>
  <si>
    <r>
      <rPr>
        <sz val="9"/>
        <rFont val="Noto Sans CJK SC"/>
        <family val="2"/>
      </rPr>
      <t>자원</t>
    </r>
    <r>
      <rPr>
        <sz val="9"/>
        <rFont val="Malgun Gothic"/>
        <family val="3"/>
        <charset val="129"/>
      </rPr>
      <t>ID</t>
    </r>
  </si>
  <si>
    <t>공지등록 화면</t>
  </si>
  <si>
    <r>
      <rPr>
        <sz val="9"/>
        <rFont val="Noto Sans CJK SC"/>
        <family val="2"/>
      </rPr>
      <t>등록폼</t>
    </r>
    <r>
      <rPr>
        <sz val="9"/>
        <rFont val="Malgun Gothic"/>
        <family val="3"/>
        <charset val="129"/>
      </rPr>
      <t xml:space="preserve">, </t>
    </r>
    <r>
      <rPr>
        <sz val="9"/>
        <rFont val="Noto Sans CJK SC"/>
        <family val="2"/>
      </rPr>
      <t>미리보기</t>
    </r>
  </si>
  <si>
    <t>등록화면</t>
  </si>
  <si>
    <t>발송관리 화면</t>
  </si>
  <si>
    <r>
      <rPr>
        <sz val="9"/>
        <rFont val="Noto Sans CJK SC"/>
        <family val="2"/>
      </rPr>
      <t>목록</t>
    </r>
    <r>
      <rPr>
        <sz val="9"/>
        <rFont val="Malgun Gothic"/>
        <family val="3"/>
        <charset val="129"/>
      </rPr>
      <t>/</t>
    </r>
    <r>
      <rPr>
        <sz val="9"/>
        <rFont val="Noto Sans CJK SC"/>
        <family val="2"/>
      </rPr>
      <t>검색</t>
    </r>
    <r>
      <rPr>
        <sz val="9"/>
        <rFont val="Malgun Gothic"/>
        <family val="3"/>
        <charset val="129"/>
      </rPr>
      <t>/</t>
    </r>
    <r>
      <rPr>
        <sz val="9"/>
        <rFont val="Noto Sans CJK SC"/>
        <family val="2"/>
      </rPr>
      <t>승인처리</t>
    </r>
  </si>
  <si>
    <t>발송화면</t>
  </si>
  <si>
    <t>캘린더 화면</t>
  </si>
  <si>
    <r>
      <rPr>
        <sz val="9"/>
        <rFont val="Noto Sans CJK SC"/>
        <family val="2"/>
      </rPr>
      <t>월</t>
    </r>
    <r>
      <rPr>
        <sz val="9"/>
        <rFont val="Malgun Gothic"/>
        <family val="3"/>
        <charset val="129"/>
      </rPr>
      <t>/</t>
    </r>
    <r>
      <rPr>
        <sz val="9"/>
        <rFont val="Noto Sans CJK SC"/>
        <family val="2"/>
      </rPr>
      <t>주</t>
    </r>
    <r>
      <rPr>
        <sz val="9"/>
        <rFont val="Malgun Gothic"/>
        <family val="3"/>
        <charset val="129"/>
      </rPr>
      <t>/</t>
    </r>
    <r>
      <rPr>
        <sz val="9"/>
        <rFont val="Noto Sans CJK SC"/>
        <family val="2"/>
      </rPr>
      <t xml:space="preserve">일 </t>
    </r>
    <r>
      <rPr>
        <sz val="9"/>
        <rFont val="Malgun Gothic"/>
        <family val="3"/>
        <charset val="129"/>
      </rPr>
      <t>View</t>
    </r>
  </si>
  <si>
    <t>캘린더화면</t>
  </si>
  <si>
    <t>대시보드 화면</t>
  </si>
  <si>
    <r>
      <rPr>
        <sz val="9"/>
        <rFont val="Noto Sans CJK SC"/>
        <family val="2"/>
      </rPr>
      <t>통계</t>
    </r>
    <r>
      <rPr>
        <sz val="9"/>
        <rFont val="Malgun Gothic"/>
        <family val="3"/>
        <charset val="129"/>
      </rPr>
      <t xml:space="preserve">, </t>
    </r>
    <r>
      <rPr>
        <sz val="9"/>
        <rFont val="Noto Sans CJK SC"/>
        <family val="2"/>
      </rPr>
      <t>차트</t>
    </r>
  </si>
  <si>
    <t>대시보드화면</t>
  </si>
  <si>
    <t>기타</t>
  </si>
  <si>
    <r>
      <rPr>
        <sz val="9"/>
        <rFont val="Noto Sans CJK SC"/>
        <family val="2"/>
      </rPr>
      <t>완료공지</t>
    </r>
    <r>
      <rPr>
        <sz val="9"/>
        <rFont val="Malgun Gothic"/>
        <family val="3"/>
        <charset val="129"/>
      </rPr>
      <t>/</t>
    </r>
    <r>
      <rPr>
        <sz val="9"/>
        <rFont val="Noto Sans CJK SC"/>
        <family val="2"/>
      </rPr>
      <t>해시태그</t>
    </r>
  </si>
  <si>
    <r>
      <rPr>
        <sz val="9"/>
        <rFont val="Noto Sans CJK SC"/>
        <family val="2"/>
      </rPr>
      <t>완료처리</t>
    </r>
    <r>
      <rPr>
        <sz val="9"/>
        <rFont val="Malgun Gothic"/>
        <family val="3"/>
        <charset val="129"/>
      </rPr>
      <t xml:space="preserve">, </t>
    </r>
    <r>
      <rPr>
        <sz val="9"/>
        <rFont val="Noto Sans CJK SC"/>
        <family val="2"/>
      </rPr>
      <t>태그</t>
    </r>
  </si>
  <si>
    <t>2026-02-20</t>
  </si>
  <si>
    <t>부가기능</t>
  </si>
  <si>
    <r>
      <rPr>
        <b/>
        <sz val="9"/>
        <color rgb="FF333333"/>
        <rFont val="Malgun Gothic"/>
        <family val="3"/>
        <charset val="129"/>
      </rPr>
      <t xml:space="preserve">M3: 2026-02-20 </t>
    </r>
    <r>
      <rPr>
        <b/>
        <sz val="9"/>
        <color rgb="FF333333"/>
        <rFont val="Noto Sans CJK SC"/>
        <family val="2"/>
      </rPr>
      <t>개발 완료</t>
    </r>
  </si>
  <si>
    <t>4</t>
  </si>
  <si>
    <t>단위</t>
  </si>
  <si>
    <t>단위 테스트</t>
  </si>
  <si>
    <r>
      <rPr>
        <sz val="9"/>
        <rFont val="Noto Sans CJK SC"/>
        <family val="2"/>
      </rPr>
      <t>도메인</t>
    </r>
    <r>
      <rPr>
        <sz val="9"/>
        <rFont val="Malgun Gothic"/>
        <family val="3"/>
        <charset val="129"/>
      </rPr>
      <t>/</t>
    </r>
    <r>
      <rPr>
        <sz val="9"/>
        <rFont val="Noto Sans CJK SC"/>
        <family val="2"/>
      </rPr>
      <t>서비스 테스트</t>
    </r>
  </si>
  <si>
    <t>2026-02-23</t>
  </si>
  <si>
    <t>테스트코드</t>
  </si>
  <si>
    <t>4.1</t>
  </si>
  <si>
    <t>통합</t>
  </si>
  <si>
    <t>통합 테스트</t>
  </si>
  <si>
    <t>전체 시나리오 테스트</t>
  </si>
  <si>
    <t>2026-02-24</t>
  </si>
  <si>
    <t>테스트결과</t>
  </si>
  <si>
    <t>4.2</t>
  </si>
  <si>
    <t>수정</t>
  </si>
  <si>
    <t>결함 수정</t>
  </si>
  <si>
    <t>버그 수정 및 재테스트</t>
  </si>
  <si>
    <t>2026-02-25</t>
  </si>
  <si>
    <t>패치</t>
  </si>
  <si>
    <r>
      <rPr>
        <b/>
        <sz val="9"/>
        <color rgb="FF333333"/>
        <rFont val="Malgun Gothic"/>
        <family val="3"/>
        <charset val="129"/>
      </rPr>
      <t xml:space="preserve">M4: 2026-02-25 </t>
    </r>
    <r>
      <rPr>
        <b/>
        <sz val="9"/>
        <color rgb="FF333333"/>
        <rFont val="Noto Sans CJK SC"/>
        <family val="2"/>
      </rPr>
      <t>테스트 완료</t>
    </r>
  </si>
  <si>
    <t>5</t>
  </si>
  <si>
    <t>이행</t>
  </si>
  <si>
    <t>문서화</t>
  </si>
  <si>
    <t>매뉴얼 작성</t>
  </si>
  <si>
    <r>
      <rPr>
        <sz val="9"/>
        <rFont val="Noto Sans CJK SC"/>
        <family val="2"/>
      </rPr>
      <t>사용자</t>
    </r>
    <r>
      <rPr>
        <sz val="9"/>
        <rFont val="Malgun Gothic"/>
        <family val="3"/>
        <charset val="129"/>
      </rPr>
      <t>/</t>
    </r>
    <r>
      <rPr>
        <sz val="9"/>
        <rFont val="Noto Sans CJK SC"/>
        <family val="2"/>
      </rPr>
      <t>운영 매뉴얼</t>
    </r>
  </si>
  <si>
    <t>2026-02-26</t>
  </si>
  <si>
    <t>매뉴얼</t>
  </si>
  <si>
    <t>WIKI</t>
  </si>
  <si>
    <t>5.1</t>
  </si>
  <si>
    <t>산출물 정리</t>
  </si>
  <si>
    <r>
      <rPr>
        <sz val="9"/>
        <rFont val="Noto Sans CJK SC"/>
        <family val="2"/>
      </rPr>
      <t>문서</t>
    </r>
    <r>
      <rPr>
        <sz val="9"/>
        <rFont val="Malgun Gothic"/>
        <family val="3"/>
        <charset val="129"/>
      </rPr>
      <t>/</t>
    </r>
    <r>
      <rPr>
        <sz val="9"/>
        <rFont val="Noto Sans CJK SC"/>
        <family val="2"/>
      </rPr>
      <t>코드 정리</t>
    </r>
  </si>
  <si>
    <t>2026-02-27</t>
  </si>
  <si>
    <t>최종산출물</t>
  </si>
  <si>
    <t>인수인계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</si>
</sst>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>
    <font>
      <sz val="11"/>
      <color theme="1"/>
      <name val="Calibri"/>
      <family val="2"/>
      <charset val="1"/>
    </font>
    <font>
      <b/>
      <sz val="18"/>
      <color rgb="FF333333"/>
      <name val="Malgun Gothic"/>
      <family val="3"/>
      <charset val="129"/>
    </font>
    <font>
      <sz val="9"/>
      <color rgb="FF666666"/>
      <name val="Noto Sans CJK SC"/>
      <family val="2"/>
    </font>
    <font>
      <sz val="9"/>
      <color rgb="FF666666"/>
      <name val="Malgun Gothic"/>
      <family val="3"/>
      <charset val="129"/>
    </font>
    <font>
      <b/>
      <sz val="10"/>
      <color rgb="FF333333"/>
      <name val="Noto Sans CJK SC"/>
      <family val="2"/>
    </font>
    <font>
      <sz val="8"/>
      <color rgb="FF666666"/>
      <name val="Noto Sans CJK SC"/>
      <family val="2"/>
    </font>
    <font>
      <b/>
      <sz val="9"/>
      <color rgb="FFFFFFFF"/>
      <name val="Malgun Gothic"/>
      <family val="3"/>
      <charset val="129"/>
    </font>
    <font>
      <b/>
      <sz val="9"/>
      <color rgb="FFFFFFFF"/>
      <name val="Noto Sans CJK SC"/>
      <family val="2"/>
    </font>
    <font>
      <sz val="9"/>
      <name val="Malgun Gothic"/>
      <family val="3"/>
      <charset val="129"/>
    </font>
    <font>
      <sz val="9"/>
      <name val="Noto Sans CJK SC"/>
      <family val="2"/>
    </font>
    <font>
      <b/>
      <sz val="9"/>
      <color rgb="FFFF8800"/>
      <name val="Noto Sans CJK SC"/>
      <family val="2"/>
    </font>
    <font>
      <b/>
      <sz val="9"/>
      <name val="Malgun Gothic"/>
      <family val="3"/>
      <charset val="129"/>
    </font>
    <font>
      <b/>
      <sz val="9"/>
      <color rgb="FF008800"/>
      <name val="Noto Sans CJK SC"/>
      <family val="2"/>
    </font>
    <font>
      <b/>
      <sz val="9"/>
      <color rgb="FF333333"/>
      <name val="Malgun Gothic"/>
      <family val="3"/>
      <charset val="129"/>
    </font>
    <font>
      <b/>
      <sz val="9"/>
      <color rgb="FF333333"/>
      <name val="Noto Sans CJK SC"/>
      <family val="2"/>
    </font>
    <font>
      <b/>
      <sz val="9"/>
      <color rgb="FFCC0000"/>
      <name val="Noto Sans CJK SC"/>
      <family val="2"/>
    </font>
    <font>
      <sz val="8"/>
      <name val="돋움"/>
      <family val="3"/>
      <charset val="129"/>
    </font>
    <font>
      <b/>
      <sz val="18"/>
      <color rgb="FF333333"/>
      <name val="맑은 고딕"/>
      <family val="3"/>
      <charset val="129"/>
    </font>
    <font>
      <b/>
      <sz val="18"/>
      <color rgb="FF333333"/>
      <name val="Arial"/>
      <family val="2"/>
    </font>
    <font>
      <b/>
      <sz val="10"/>
      <color rgb="FF333333"/>
      <name val="맑은 고딕"/>
      <family val="3"/>
      <charset val="129"/>
    </font>
    <font>
      <b/>
      <sz val="11"/>
      <color theme="1"/>
      <name val="Malgun Gothic"/>
      <family val="3"/>
      <charset val="129"/>
    </font>
    <font>
      <b/>
      <sz val="14"/>
      <color rgb="FF333333"/>
      <name val="Malgun Gothic"/>
      <family val="3"/>
      <charset val="129"/>
    </font>
    <font>
      <b/>
      <sz val="9"/>
      <color theme="1" tint="0.14999847407452621"/>
      <name val="Malgun Gothic"/>
      <family val="3"/>
      <charset val="129"/>
    </font>
    <font>
      <sz val="9"/>
      <color theme="1" tint="0.249977111117893"/>
      <name val="Noto Sans CJK SC"/>
      <family val="2"/>
    </font>
    <font>
      <sz val="9"/>
      <name val="맑은 고딕"/>
      <family val="3"/>
      <charset val="129"/>
    </font>
    <font>
      <sz val="9"/>
      <name val="Noto Sans CJK SC"/>
      <family val="3"/>
      <charset val="129"/>
    </font>
    <font>
      <b/>
      <sz val="9"/>
      <color rgb="FF333333"/>
      <name val="Noto Sans CJK SC"/>
    </font>
  </fonts>
  <fills count="14">
    <fill>
      <patternFill patternType="none"/>
    </fill>
    <fill>
      <patternFill patternType="gray125"/>
    </fill>
    <fill>
      <patternFill patternType="solid">
        <fgColor rgb="FF666666"/>
        <bgColor rgb="FF808080"/>
      </patternFill>
    </fill>
    <fill>
      <patternFill patternType="solid">
        <fgColor rgb="FFFAFAFA"/>
        <bgColor rgb="FFFFFFFF"/>
      </patternFill>
    </fill>
    <fill>
      <patternFill patternType="solid">
        <fgColor rgb="FFF5F5F5"/>
        <bgColor rgb="FFFAFAFA"/>
      </patternFill>
    </fill>
    <fill>
      <patternFill patternType="solid">
        <fgColor rgb="FF999999"/>
        <bgColor rgb="FF808080"/>
      </patternFill>
    </fill>
    <fill>
      <patternFill patternType="solid">
        <fgColor rgb="FFF0F0F0"/>
        <bgColor rgb="FFF5F5F5"/>
      </patternFill>
    </fill>
    <fill>
      <patternFill patternType="solid">
        <fgColor rgb="FFE8E8E8"/>
        <bgColor rgb="FFF0F0F0"/>
      </patternFill>
    </fill>
    <fill>
      <patternFill patternType="solid">
        <fgColor rgb="FFDDDDDD"/>
        <bgColor rgb="FFE8E8E8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FAFAFA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/>
      <top style="medium">
        <color rgb="FF666666"/>
      </top>
      <bottom style="medium">
        <color rgb="FF666666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rgb="FF666666"/>
      </top>
      <bottom style="medium">
        <color rgb="FF666666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4" fillId="0" borderId="3" xfId="0" applyFont="1" applyBorder="1" applyAlignment="1">
      <alignment horizontal="center" vertical="center"/>
    </xf>
    <xf numFmtId="0" fontId="20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0" fontId="21" fillId="9" borderId="4" xfId="0" applyNumberFormat="1" applyFont="1" applyFill="1" applyBorder="1" applyAlignment="1">
      <alignment horizontal="center" vertical="center"/>
    </xf>
    <xf numFmtId="0" fontId="2" fillId="0" borderId="0" xfId="0" applyFont="1"/>
    <xf numFmtId="0" fontId="23" fillId="0" borderId="0" xfId="0" applyFont="1" applyAlignment="1">
      <alignment horizontal="center"/>
    </xf>
    <xf numFmtId="0" fontId="23" fillId="0" borderId="0" xfId="0" applyFont="1"/>
    <xf numFmtId="14" fontId="8" fillId="0" borderId="1" xfId="0" applyNumberFormat="1" applyFont="1" applyBorder="1" applyAlignment="1">
      <alignment horizontal="center" vertical="center"/>
    </xf>
    <xf numFmtId="0" fontId="25" fillId="0" borderId="1" xfId="0" applyFont="1" applyBorder="1" applyAlignment="1">
      <alignment horizontal="left" vertical="center"/>
    </xf>
    <xf numFmtId="0" fontId="8" fillId="11" borderId="1" xfId="0" applyFont="1" applyFill="1" applyBorder="1" applyAlignment="1">
      <alignment horizontal="left" vertical="center"/>
    </xf>
    <xf numFmtId="0" fontId="24" fillId="12" borderId="1" xfId="0" applyFont="1" applyFill="1" applyBorder="1" applyAlignment="1">
      <alignment horizontal="left" vertical="center"/>
    </xf>
    <xf numFmtId="14" fontId="23" fillId="0" borderId="0" xfId="0" applyNumberFormat="1" applyFont="1" applyAlignment="1">
      <alignment horizontal="center"/>
    </xf>
    <xf numFmtId="0" fontId="23" fillId="0" borderId="0" xfId="0" applyFont="1" applyAlignment="1">
      <alignment horizontal="left"/>
    </xf>
    <xf numFmtId="9" fontId="22" fillId="5" borderId="1" xfId="0" applyNumberFormat="1" applyFont="1" applyFill="1" applyBorder="1" applyAlignment="1">
      <alignment horizontal="center" vertical="center"/>
    </xf>
    <xf numFmtId="9" fontId="22" fillId="4" borderId="1" xfId="0" applyNumberFormat="1" applyFont="1" applyFill="1" applyBorder="1" applyAlignment="1">
      <alignment horizontal="center" vertical="center"/>
    </xf>
    <xf numFmtId="9" fontId="22" fillId="7" borderId="1" xfId="0" applyNumberFormat="1" applyFont="1" applyFill="1" applyBorder="1" applyAlignment="1">
      <alignment horizontal="center" vertical="center"/>
    </xf>
    <xf numFmtId="9" fontId="22" fillId="8" borderId="1" xfId="0" applyNumberFormat="1" applyFont="1" applyFill="1" applyBorder="1" applyAlignment="1">
      <alignment horizontal="center" vertical="center"/>
    </xf>
    <xf numFmtId="9" fontId="22" fillId="10" borderId="1" xfId="0" applyNumberFormat="1" applyFont="1" applyFill="1" applyBorder="1" applyAlignment="1">
      <alignment horizontal="center" vertical="center"/>
    </xf>
    <xf numFmtId="9" fontId="11" fillId="4" borderId="1" xfId="0" applyNumberFormat="1" applyFont="1" applyFill="1" applyBorder="1" applyAlignment="1">
      <alignment horizontal="center" vertical="center"/>
    </xf>
    <xf numFmtId="9" fontId="11" fillId="6" borderId="1" xfId="0" applyNumberFormat="1" applyFont="1" applyFill="1" applyBorder="1" applyAlignment="1">
      <alignment horizontal="center" vertical="center"/>
    </xf>
    <xf numFmtId="9" fontId="21" fillId="9" borderId="5" xfId="0" applyNumberFormat="1" applyFont="1" applyFill="1" applyBorder="1" applyAlignment="1">
      <alignment horizontal="center" vertical="center"/>
    </xf>
    <xf numFmtId="0" fontId="13" fillId="6" borderId="2" xfId="0" applyFont="1" applyFill="1" applyBorder="1" applyAlignment="1">
      <alignment vertical="center"/>
    </xf>
    <xf numFmtId="0" fontId="13" fillId="6" borderId="6" xfId="0" applyFont="1" applyFill="1" applyBorder="1" applyAlignment="1">
      <alignment vertical="center"/>
    </xf>
    <xf numFmtId="14" fontId="8" fillId="13" borderId="1" xfId="0" applyNumberFormat="1" applyFont="1" applyFill="1" applyBorder="1" applyAlignment="1">
      <alignment horizontal="center" vertical="center"/>
    </xf>
    <xf numFmtId="0" fontId="8" fillId="13" borderId="1" xfId="0" applyFont="1" applyFill="1" applyBorder="1" applyAlignment="1">
      <alignment horizontal="center" vertical="center"/>
    </xf>
    <xf numFmtId="0" fontId="1" fillId="0" borderId="0" xfId="0" applyFont="1" applyAlignment="1"/>
    <xf numFmtId="0" fontId="2" fillId="0" borderId="0" xfId="0" applyFont="1" applyAlignment="1"/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8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AFAFA"/>
      <rgbColor rgb="FFF0F0F0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5F5"/>
      <rgbColor rgb="FFE8E8E8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8800"/>
      <rgbColor rgb="FFFF6600"/>
      <rgbColor rgb="FF666666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0"/>
  <sheetViews>
    <sheetView tabSelected="1" topLeftCell="A10" zoomScaleNormal="100" workbookViewId="0">
      <selection activeCell="J22" sqref="J22"/>
    </sheetView>
  </sheetViews>
  <sheetFormatPr defaultColWidth="8.7109375" defaultRowHeight="15"/>
  <cols>
    <col min="1" max="1" width="11" customWidth="1"/>
    <col min="2" max="2" width="25.28515625" bestFit="1" customWidth="1"/>
    <col min="3" max="3" width="14.85546875" customWidth="1"/>
    <col min="4" max="4" width="25" customWidth="1"/>
    <col min="5" max="5" width="35" customWidth="1"/>
    <col min="6" max="6" width="18.28515625" customWidth="1"/>
    <col min="7" max="7" width="15.7109375" customWidth="1"/>
    <col min="8" max="8" width="22.5703125" customWidth="1"/>
    <col min="9" max="11" width="23.42578125" customWidth="1"/>
    <col min="12" max="12" width="8" customWidth="1"/>
    <col min="13" max="13" width="12" customWidth="1"/>
    <col min="14" max="14" width="10" customWidth="1"/>
    <col min="15" max="15" width="12" customWidth="1"/>
    <col min="16" max="16" width="18" customWidth="1"/>
    <col min="17" max="17" width="20" customWidth="1"/>
    <col min="18" max="18" width="15" customWidth="1"/>
    <col min="19" max="19" width="8" customWidth="1"/>
  </cols>
  <sheetData>
    <row r="1" spans="1:19" ht="24.75" customHeight="1">
      <c r="A1" s="40" t="s">
        <v>0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</row>
    <row r="2" spans="1:19" ht="15" customHeight="1">
      <c r="A2" s="41" t="s">
        <v>1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</row>
    <row r="3" spans="1:19" ht="15" customHeight="1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</row>
    <row r="4" spans="1:19" ht="15" customHeight="1">
      <c r="A4" s="20" t="s">
        <v>2</v>
      </c>
      <c r="B4" s="21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</row>
    <row r="5" spans="1:19" ht="15" customHeight="1">
      <c r="A5" s="26">
        <v>46009</v>
      </c>
      <c r="B5" s="27" t="s">
        <v>3</v>
      </c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</row>
    <row r="6" spans="1:19" ht="15" customHeight="1">
      <c r="A6" s="26">
        <v>46027</v>
      </c>
      <c r="B6" s="27" t="s">
        <v>4</v>
      </c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</row>
    <row r="8" spans="1:19" ht="30" customHeight="1">
      <c r="A8" s="13" t="s">
        <v>5</v>
      </c>
      <c r="B8" s="14">
        <v>11</v>
      </c>
      <c r="C8" s="15" t="s">
        <v>6</v>
      </c>
      <c r="D8" s="14">
        <v>5</v>
      </c>
      <c r="E8" s="16" t="s">
        <v>7</v>
      </c>
      <c r="F8" s="18">
        <f>D8/B8</f>
        <v>0.45454545454545453</v>
      </c>
      <c r="G8" s="15" t="s">
        <v>8</v>
      </c>
      <c r="H8" s="35">
        <f>SUM(O11:O50)</f>
        <v>0.439</v>
      </c>
      <c r="I8" s="17"/>
      <c r="J8" s="17"/>
      <c r="K8" s="17"/>
      <c r="L8" s="12"/>
    </row>
    <row r="10" spans="1:19" ht="30" customHeight="1">
      <c r="A10" s="1" t="s">
        <v>9</v>
      </c>
      <c r="B10" s="2" t="s">
        <v>10</v>
      </c>
      <c r="C10" s="2" t="s">
        <v>11</v>
      </c>
      <c r="D10" s="2" t="s">
        <v>12</v>
      </c>
      <c r="E10" s="2" t="s">
        <v>13</v>
      </c>
      <c r="F10" s="2" t="s">
        <v>14</v>
      </c>
      <c r="G10" s="2" t="s">
        <v>15</v>
      </c>
      <c r="H10" s="2" t="s">
        <v>16</v>
      </c>
      <c r="I10" s="2" t="s">
        <v>17</v>
      </c>
      <c r="J10" s="2" t="s">
        <v>18</v>
      </c>
      <c r="K10" s="2" t="s">
        <v>19</v>
      </c>
      <c r="L10" s="2" t="s">
        <v>20</v>
      </c>
      <c r="M10" s="2" t="s">
        <v>21</v>
      </c>
      <c r="N10" s="2" t="s">
        <v>22</v>
      </c>
      <c r="O10" s="2" t="s">
        <v>23</v>
      </c>
      <c r="P10" s="2" t="s">
        <v>24</v>
      </c>
      <c r="Q10" s="2" t="s">
        <v>25</v>
      </c>
      <c r="R10" s="2" t="s">
        <v>26</v>
      </c>
      <c r="S10" s="2" t="s">
        <v>27</v>
      </c>
    </row>
    <row r="11" spans="1:19">
      <c r="A11" s="3" t="s">
        <v>28</v>
      </c>
      <c r="B11" s="4" t="s">
        <v>29</v>
      </c>
      <c r="C11" s="5" t="s">
        <v>30</v>
      </c>
      <c r="D11" s="6" t="s">
        <v>31</v>
      </c>
      <c r="E11" s="6" t="s">
        <v>32</v>
      </c>
      <c r="F11" s="7" t="s">
        <v>33</v>
      </c>
      <c r="G11" s="5">
        <v>1</v>
      </c>
      <c r="H11" s="8" t="s">
        <v>34</v>
      </c>
      <c r="I11" s="8" t="s">
        <v>35</v>
      </c>
      <c r="J11" s="8" t="s">
        <v>34</v>
      </c>
      <c r="K11" s="8" t="s">
        <v>35</v>
      </c>
      <c r="L11" s="8">
        <v>2</v>
      </c>
      <c r="M11" s="28">
        <v>1</v>
      </c>
      <c r="N11" s="33">
        <v>0.02</v>
      </c>
      <c r="O11" s="34">
        <f>M11*N11</f>
        <v>0.02</v>
      </c>
      <c r="P11" s="9" t="s">
        <v>9</v>
      </c>
      <c r="Q11" s="9" t="s">
        <v>36</v>
      </c>
      <c r="R11" s="9" t="s">
        <v>36</v>
      </c>
      <c r="S11" s="8"/>
    </row>
    <row r="12" spans="1:19">
      <c r="A12" s="3" t="s">
        <v>37</v>
      </c>
      <c r="B12" s="4" t="s">
        <v>29</v>
      </c>
      <c r="C12" s="5" t="s">
        <v>38</v>
      </c>
      <c r="D12" s="6" t="s">
        <v>39</v>
      </c>
      <c r="E12" s="9" t="s">
        <v>40</v>
      </c>
      <c r="F12" s="7" t="s">
        <v>33</v>
      </c>
      <c r="G12" s="8">
        <v>1</v>
      </c>
      <c r="H12" s="8" t="s">
        <v>41</v>
      </c>
      <c r="I12" s="8" t="s">
        <v>41</v>
      </c>
      <c r="J12" s="8" t="s">
        <v>41</v>
      </c>
      <c r="K12" s="8" t="s">
        <v>41</v>
      </c>
      <c r="L12" s="8">
        <v>1</v>
      </c>
      <c r="M12" s="28">
        <v>1</v>
      </c>
      <c r="N12" s="33">
        <v>0.02</v>
      </c>
      <c r="O12" s="34">
        <f t="shared" ref="O12:O15" si="0">M12*N12</f>
        <v>0.02</v>
      </c>
      <c r="P12" s="6" t="s">
        <v>42</v>
      </c>
      <c r="Q12" s="9" t="s">
        <v>36</v>
      </c>
      <c r="R12" s="9" t="s">
        <v>36</v>
      </c>
      <c r="S12" s="8"/>
    </row>
    <row r="13" spans="1:19">
      <c r="A13" s="3" t="s">
        <v>43</v>
      </c>
      <c r="B13" s="4" t="s">
        <v>29</v>
      </c>
      <c r="C13" s="5" t="s">
        <v>44</v>
      </c>
      <c r="D13" s="6" t="s">
        <v>45</v>
      </c>
      <c r="E13" s="6" t="s">
        <v>46</v>
      </c>
      <c r="F13" s="10" t="s">
        <v>47</v>
      </c>
      <c r="G13" s="8">
        <v>0.3</v>
      </c>
      <c r="H13" s="8"/>
      <c r="I13" s="8"/>
      <c r="J13" s="8"/>
      <c r="K13" s="8"/>
      <c r="L13" s="8"/>
      <c r="M13" s="28">
        <v>0</v>
      </c>
      <c r="N13" s="33">
        <v>0</v>
      </c>
      <c r="O13" s="34">
        <f t="shared" si="0"/>
        <v>0</v>
      </c>
      <c r="P13" s="6" t="s">
        <v>48</v>
      </c>
      <c r="Q13" s="9" t="s">
        <v>36</v>
      </c>
      <c r="R13" s="25" t="s">
        <v>49</v>
      </c>
      <c r="S13" s="8"/>
    </row>
    <row r="14" spans="1:19">
      <c r="A14" s="3" t="s">
        <v>50</v>
      </c>
      <c r="B14" s="4" t="s">
        <v>29</v>
      </c>
      <c r="C14" s="5" t="s">
        <v>51</v>
      </c>
      <c r="D14" s="6" t="s">
        <v>52</v>
      </c>
      <c r="E14" s="6" t="s">
        <v>53</v>
      </c>
      <c r="F14" s="7" t="s">
        <v>33</v>
      </c>
      <c r="G14" s="8">
        <v>0.5</v>
      </c>
      <c r="H14" s="8"/>
      <c r="I14" s="8"/>
      <c r="J14" s="8"/>
      <c r="K14" s="8"/>
      <c r="L14" s="8"/>
      <c r="M14" s="28">
        <v>0</v>
      </c>
      <c r="N14" s="33">
        <v>0</v>
      </c>
      <c r="O14" s="34">
        <f t="shared" si="0"/>
        <v>0</v>
      </c>
      <c r="P14" s="6" t="s">
        <v>54</v>
      </c>
      <c r="Q14" s="6" t="s">
        <v>55</v>
      </c>
      <c r="R14" s="25" t="s">
        <v>49</v>
      </c>
      <c r="S14" s="8"/>
    </row>
    <row r="15" spans="1:19">
      <c r="A15" s="3" t="s">
        <v>56</v>
      </c>
      <c r="B15" s="4" t="s">
        <v>29</v>
      </c>
      <c r="C15" s="5" t="s">
        <v>57</v>
      </c>
      <c r="D15" s="6" t="s">
        <v>58</v>
      </c>
      <c r="E15" s="6" t="s">
        <v>59</v>
      </c>
      <c r="F15" s="7" t="s">
        <v>33</v>
      </c>
      <c r="G15" s="8">
        <v>0.5</v>
      </c>
      <c r="H15" s="8" t="s">
        <v>41</v>
      </c>
      <c r="I15" s="8" t="s">
        <v>41</v>
      </c>
      <c r="J15" s="8" t="s">
        <v>41</v>
      </c>
      <c r="K15" s="8" t="s">
        <v>41</v>
      </c>
      <c r="L15" s="8">
        <v>1</v>
      </c>
      <c r="M15" s="28">
        <v>1</v>
      </c>
      <c r="N15" s="33">
        <v>0.02</v>
      </c>
      <c r="O15" s="34">
        <f t="shared" si="0"/>
        <v>0.02</v>
      </c>
      <c r="P15" s="6" t="s">
        <v>60</v>
      </c>
      <c r="Q15" s="9" t="s">
        <v>36</v>
      </c>
      <c r="R15" s="6" t="s">
        <v>61</v>
      </c>
      <c r="S15" s="8"/>
    </row>
    <row r="16" spans="1:19">
      <c r="A16" s="36" t="s">
        <v>62</v>
      </c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</row>
    <row r="17" spans="1:19">
      <c r="A17" s="3" t="s">
        <v>63</v>
      </c>
      <c r="B17" s="4" t="s">
        <v>64</v>
      </c>
      <c r="C17" s="5" t="s">
        <v>65</v>
      </c>
      <c r="D17" s="6" t="s">
        <v>66</v>
      </c>
      <c r="E17" s="9" t="s">
        <v>67</v>
      </c>
      <c r="F17" s="7" t="s">
        <v>33</v>
      </c>
      <c r="G17" s="8">
        <v>1</v>
      </c>
      <c r="H17" s="8" t="s">
        <v>41</v>
      </c>
      <c r="I17" s="8" t="s">
        <v>41</v>
      </c>
      <c r="J17" s="8" t="s">
        <v>41</v>
      </c>
      <c r="K17" s="8" t="s">
        <v>41</v>
      </c>
      <c r="L17" s="8">
        <v>1</v>
      </c>
      <c r="M17" s="28">
        <v>1</v>
      </c>
      <c r="N17" s="33">
        <v>0.02</v>
      </c>
      <c r="O17" s="34">
        <f>M17*N17</f>
        <v>0.02</v>
      </c>
      <c r="P17" s="6" t="s">
        <v>68</v>
      </c>
      <c r="Q17" s="9" t="s">
        <v>36</v>
      </c>
      <c r="R17" s="9" t="s">
        <v>69</v>
      </c>
      <c r="S17" s="8"/>
    </row>
    <row r="18" spans="1:19">
      <c r="A18" s="3" t="s">
        <v>70</v>
      </c>
      <c r="B18" s="4" t="s">
        <v>64</v>
      </c>
      <c r="C18" s="8" t="s">
        <v>71</v>
      </c>
      <c r="D18" s="6" t="s">
        <v>72</v>
      </c>
      <c r="E18" s="6" t="s">
        <v>73</v>
      </c>
      <c r="F18" s="11" t="s">
        <v>74</v>
      </c>
      <c r="G18" s="8">
        <v>1.5</v>
      </c>
      <c r="H18" s="8" t="s">
        <v>75</v>
      </c>
      <c r="I18" s="8" t="s">
        <v>75</v>
      </c>
      <c r="J18" s="8" t="s">
        <v>75</v>
      </c>
      <c r="K18" s="8" t="s">
        <v>75</v>
      </c>
      <c r="L18" s="8">
        <v>1</v>
      </c>
      <c r="M18" s="28">
        <v>1</v>
      </c>
      <c r="N18" s="33">
        <v>0.02</v>
      </c>
      <c r="O18" s="34">
        <f t="shared" ref="O18:O25" si="1">M18*N18</f>
        <v>0.02</v>
      </c>
      <c r="P18" s="9" t="s">
        <v>76</v>
      </c>
      <c r="Q18" s="9" t="s">
        <v>36</v>
      </c>
      <c r="R18" s="9" t="s">
        <v>77</v>
      </c>
      <c r="S18" s="8"/>
    </row>
    <row r="19" spans="1:19">
      <c r="A19" s="3" t="s">
        <v>78</v>
      </c>
      <c r="B19" s="4" t="s">
        <v>64</v>
      </c>
      <c r="C19" s="8" t="s">
        <v>71</v>
      </c>
      <c r="D19" s="6" t="s">
        <v>79</v>
      </c>
      <c r="E19" s="9" t="s">
        <v>80</v>
      </c>
      <c r="F19" s="7" t="s">
        <v>33</v>
      </c>
      <c r="G19" s="8">
        <v>0.5</v>
      </c>
      <c r="H19" s="8" t="s">
        <v>81</v>
      </c>
      <c r="I19" s="8" t="s">
        <v>81</v>
      </c>
      <c r="J19" s="8" t="s">
        <v>81</v>
      </c>
      <c r="K19" s="8" t="s">
        <v>81</v>
      </c>
      <c r="L19" s="8">
        <v>1</v>
      </c>
      <c r="M19" s="28">
        <v>1</v>
      </c>
      <c r="N19" s="33">
        <v>0.02</v>
      </c>
      <c r="O19" s="34">
        <f t="shared" si="1"/>
        <v>0.02</v>
      </c>
      <c r="P19" s="9" t="s">
        <v>82</v>
      </c>
      <c r="Q19" s="9" t="s">
        <v>36</v>
      </c>
      <c r="R19" s="6" t="s">
        <v>83</v>
      </c>
      <c r="S19" s="8"/>
    </row>
    <row r="20" spans="1:19">
      <c r="A20" s="3" t="s">
        <v>84</v>
      </c>
      <c r="B20" s="4" t="s">
        <v>64</v>
      </c>
      <c r="C20" s="5" t="s">
        <v>85</v>
      </c>
      <c r="D20" s="6" t="s">
        <v>86</v>
      </c>
      <c r="E20" s="6" t="s">
        <v>87</v>
      </c>
      <c r="F20" s="7" t="s">
        <v>33</v>
      </c>
      <c r="G20" s="8">
        <v>1</v>
      </c>
      <c r="H20" s="38">
        <v>46031</v>
      </c>
      <c r="I20" s="38">
        <v>46031</v>
      </c>
      <c r="J20" s="38">
        <v>46031</v>
      </c>
      <c r="K20" s="38">
        <v>46031</v>
      </c>
      <c r="L20" s="8">
        <v>1</v>
      </c>
      <c r="M20" s="29">
        <v>1</v>
      </c>
      <c r="N20" s="33">
        <v>0.02</v>
      </c>
      <c r="O20" s="34">
        <f t="shared" si="1"/>
        <v>0.02</v>
      </c>
      <c r="P20" s="6" t="s">
        <v>88</v>
      </c>
      <c r="Q20" s="9" t="s">
        <v>36</v>
      </c>
      <c r="R20" s="24" t="s">
        <v>89</v>
      </c>
      <c r="S20" s="8"/>
    </row>
    <row r="21" spans="1:19">
      <c r="A21" s="3" t="s">
        <v>90</v>
      </c>
      <c r="B21" s="4" t="s">
        <v>64</v>
      </c>
      <c r="C21" s="5" t="s">
        <v>85</v>
      </c>
      <c r="D21" s="6" t="s">
        <v>91</v>
      </c>
      <c r="E21" s="6" t="s">
        <v>92</v>
      </c>
      <c r="F21" s="10" t="s">
        <v>47</v>
      </c>
      <c r="G21" s="8">
        <v>0.5</v>
      </c>
      <c r="H21" s="38">
        <v>46031</v>
      </c>
      <c r="I21" s="38">
        <v>46031</v>
      </c>
      <c r="J21" s="38">
        <v>46031</v>
      </c>
      <c r="K21" s="38">
        <v>46031</v>
      </c>
      <c r="L21" s="8">
        <v>1</v>
      </c>
      <c r="M21" s="29">
        <v>1</v>
      </c>
      <c r="N21" s="33">
        <v>0.02</v>
      </c>
      <c r="O21" s="34">
        <f t="shared" si="1"/>
        <v>0.02</v>
      </c>
      <c r="P21" s="6" t="s">
        <v>88</v>
      </c>
      <c r="Q21" s="9" t="s">
        <v>36</v>
      </c>
      <c r="R21" s="24" t="s">
        <v>89</v>
      </c>
      <c r="S21" s="8"/>
    </row>
    <row r="22" spans="1:19">
      <c r="A22" s="3" t="s">
        <v>93</v>
      </c>
      <c r="B22" s="4" t="s">
        <v>64</v>
      </c>
      <c r="C22" s="5" t="s">
        <v>94</v>
      </c>
      <c r="D22" s="6" t="s">
        <v>95</v>
      </c>
      <c r="E22" s="6" t="s">
        <v>96</v>
      </c>
      <c r="F22" s="7" t="s">
        <v>33</v>
      </c>
      <c r="G22" s="8">
        <v>0.5</v>
      </c>
      <c r="H22" s="39" t="s">
        <v>81</v>
      </c>
      <c r="I22" s="39" t="s">
        <v>81</v>
      </c>
      <c r="J22" s="39" t="s">
        <v>81</v>
      </c>
      <c r="K22" s="8"/>
      <c r="L22" s="8"/>
      <c r="M22" s="30">
        <v>0.8</v>
      </c>
      <c r="N22" s="33">
        <v>0.02</v>
      </c>
      <c r="O22" s="34">
        <f t="shared" si="1"/>
        <v>1.6E-2</v>
      </c>
      <c r="P22" s="6" t="s">
        <v>97</v>
      </c>
      <c r="Q22" s="9" t="s">
        <v>36</v>
      </c>
      <c r="R22" s="9" t="s">
        <v>36</v>
      </c>
      <c r="S22" s="8"/>
    </row>
    <row r="23" spans="1:19">
      <c r="A23" s="3" t="s">
        <v>98</v>
      </c>
      <c r="B23" s="4" t="s">
        <v>64</v>
      </c>
      <c r="C23" s="5" t="s">
        <v>99</v>
      </c>
      <c r="D23" s="9" t="s">
        <v>100</v>
      </c>
      <c r="E23" s="6" t="s">
        <v>101</v>
      </c>
      <c r="F23" s="11" t="s">
        <v>74</v>
      </c>
      <c r="G23" s="8">
        <v>1.5</v>
      </c>
      <c r="H23" s="8" t="s">
        <v>81</v>
      </c>
      <c r="I23" s="8" t="s">
        <v>81</v>
      </c>
      <c r="J23" s="8" t="s">
        <v>81</v>
      </c>
      <c r="K23" s="8"/>
      <c r="L23" s="8"/>
      <c r="M23" s="31">
        <v>0.5</v>
      </c>
      <c r="N23" s="33">
        <v>0.02</v>
      </c>
      <c r="O23" s="34">
        <f t="shared" si="1"/>
        <v>0.01</v>
      </c>
      <c r="P23" s="9" t="s">
        <v>102</v>
      </c>
      <c r="Q23" s="6" t="s">
        <v>103</v>
      </c>
      <c r="R23" s="6" t="s">
        <v>104</v>
      </c>
      <c r="S23" s="8"/>
    </row>
    <row r="24" spans="1:19">
      <c r="A24" s="3" t="s">
        <v>105</v>
      </c>
      <c r="B24" s="4" t="s">
        <v>64</v>
      </c>
      <c r="C24" s="5" t="s">
        <v>106</v>
      </c>
      <c r="D24" s="6" t="s">
        <v>107</v>
      </c>
      <c r="E24" s="6" t="s">
        <v>108</v>
      </c>
      <c r="F24" s="10" t="s">
        <v>47</v>
      </c>
      <c r="G24" s="8">
        <v>0.5</v>
      </c>
      <c r="H24" s="22">
        <v>46038</v>
      </c>
      <c r="I24" s="22">
        <v>46038</v>
      </c>
      <c r="J24" s="8"/>
      <c r="K24" s="8"/>
      <c r="L24" s="8"/>
      <c r="M24" s="29">
        <v>0</v>
      </c>
      <c r="N24" s="33">
        <v>0.02</v>
      </c>
      <c r="O24" s="34">
        <f t="shared" si="1"/>
        <v>0</v>
      </c>
      <c r="P24" s="6" t="s">
        <v>106</v>
      </c>
      <c r="Q24" s="9" t="s">
        <v>36</v>
      </c>
      <c r="R24" s="9" t="s">
        <v>36</v>
      </c>
      <c r="S24" s="8"/>
    </row>
    <row r="25" spans="1:19">
      <c r="A25" s="3" t="s">
        <v>109</v>
      </c>
      <c r="B25" s="4" t="s">
        <v>64</v>
      </c>
      <c r="C25" s="5" t="s">
        <v>110</v>
      </c>
      <c r="D25" s="6" t="s">
        <v>111</v>
      </c>
      <c r="E25" s="6" t="s">
        <v>112</v>
      </c>
      <c r="F25" s="7" t="s">
        <v>33</v>
      </c>
      <c r="G25" s="8">
        <v>1</v>
      </c>
      <c r="H25" s="22">
        <v>46038</v>
      </c>
      <c r="I25" s="22">
        <v>46038</v>
      </c>
      <c r="J25" s="8"/>
      <c r="K25" s="8"/>
      <c r="L25" s="8"/>
      <c r="M25" s="29">
        <v>0</v>
      </c>
      <c r="N25" s="33">
        <v>0.02</v>
      </c>
      <c r="O25" s="34">
        <f t="shared" si="1"/>
        <v>0</v>
      </c>
      <c r="P25" s="6" t="s">
        <v>113</v>
      </c>
      <c r="Q25" s="9" t="s">
        <v>36</v>
      </c>
      <c r="R25" s="9" t="s">
        <v>36</v>
      </c>
      <c r="S25" s="8"/>
    </row>
    <row r="26" spans="1:19" ht="15.75" customHeight="1">
      <c r="A26" s="36" t="s">
        <v>114</v>
      </c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</row>
    <row r="27" spans="1:19">
      <c r="A27" s="3" t="s">
        <v>115</v>
      </c>
      <c r="B27" s="4" t="s">
        <v>116</v>
      </c>
      <c r="C27" s="5" t="s">
        <v>117</v>
      </c>
      <c r="D27" s="6" t="s">
        <v>118</v>
      </c>
      <c r="E27" s="9" t="s">
        <v>119</v>
      </c>
      <c r="F27" s="7" t="s">
        <v>33</v>
      </c>
      <c r="G27" s="8">
        <v>0.5</v>
      </c>
      <c r="H27" s="22">
        <v>46029</v>
      </c>
      <c r="I27" s="22">
        <v>46029</v>
      </c>
      <c r="J27" s="22">
        <v>46029</v>
      </c>
      <c r="K27" s="22">
        <v>46029</v>
      </c>
      <c r="L27" s="8">
        <v>1</v>
      </c>
      <c r="M27" s="32">
        <v>1</v>
      </c>
      <c r="N27" s="33">
        <v>0.02</v>
      </c>
      <c r="O27" s="34">
        <f>M27*N27</f>
        <v>0.02</v>
      </c>
      <c r="P27" s="6" t="s">
        <v>120</v>
      </c>
      <c r="Q27" s="9" t="s">
        <v>36</v>
      </c>
      <c r="R27" s="6" t="s">
        <v>121</v>
      </c>
      <c r="S27" s="8"/>
    </row>
    <row r="28" spans="1:19">
      <c r="A28" s="3">
        <v>3.1</v>
      </c>
      <c r="B28" s="4" t="s">
        <v>122</v>
      </c>
      <c r="C28" s="5" t="s">
        <v>123</v>
      </c>
      <c r="D28" s="6" t="s">
        <v>124</v>
      </c>
      <c r="E28" s="9" t="s">
        <v>125</v>
      </c>
      <c r="F28" s="7" t="s">
        <v>126</v>
      </c>
      <c r="G28" s="8">
        <v>0.5</v>
      </c>
      <c r="H28" s="22">
        <v>46030</v>
      </c>
      <c r="I28" s="22">
        <v>46030</v>
      </c>
      <c r="J28" s="22">
        <v>46030</v>
      </c>
      <c r="K28" s="22">
        <v>46030</v>
      </c>
      <c r="L28" s="8">
        <v>1</v>
      </c>
      <c r="M28" s="32">
        <v>1</v>
      </c>
      <c r="N28" s="33">
        <v>0.03</v>
      </c>
      <c r="O28" s="34">
        <f t="shared" ref="O28:O43" si="2">M28*N28</f>
        <v>0.03</v>
      </c>
      <c r="P28" s="23" t="s">
        <v>127</v>
      </c>
      <c r="Q28" s="9"/>
      <c r="R28" s="6"/>
      <c r="S28" s="8"/>
    </row>
    <row r="29" spans="1:19">
      <c r="A29" s="3">
        <v>3.2</v>
      </c>
      <c r="B29" s="4" t="s">
        <v>116</v>
      </c>
      <c r="C29" s="5" t="s">
        <v>65</v>
      </c>
      <c r="D29" s="6" t="s">
        <v>128</v>
      </c>
      <c r="E29" s="9" t="s">
        <v>129</v>
      </c>
      <c r="F29" s="11" t="s">
        <v>74</v>
      </c>
      <c r="G29" s="8">
        <v>2</v>
      </c>
      <c r="H29" s="22">
        <v>46031</v>
      </c>
      <c r="I29" s="22">
        <v>46031</v>
      </c>
      <c r="J29" s="22">
        <v>46031</v>
      </c>
      <c r="K29" s="22">
        <v>46031</v>
      </c>
      <c r="L29" s="8">
        <v>1</v>
      </c>
      <c r="M29" s="29">
        <v>1</v>
      </c>
      <c r="N29" s="33">
        <v>0.05</v>
      </c>
      <c r="O29" s="34">
        <f t="shared" si="2"/>
        <v>0.05</v>
      </c>
      <c r="P29" s="6" t="s">
        <v>130</v>
      </c>
      <c r="Q29" s="9" t="s">
        <v>36</v>
      </c>
      <c r="R29" s="9" t="s">
        <v>131</v>
      </c>
      <c r="S29" s="8"/>
    </row>
    <row r="30" spans="1:19">
      <c r="A30" s="3">
        <v>3.3</v>
      </c>
      <c r="B30" s="4" t="s">
        <v>116</v>
      </c>
      <c r="C30" s="5" t="s">
        <v>132</v>
      </c>
      <c r="D30" s="6" t="s">
        <v>133</v>
      </c>
      <c r="E30" s="6" t="s">
        <v>134</v>
      </c>
      <c r="F30" s="7" t="s">
        <v>33</v>
      </c>
      <c r="G30" s="8">
        <v>1</v>
      </c>
      <c r="H30" s="8" t="s">
        <v>135</v>
      </c>
      <c r="I30" s="8" t="s">
        <v>135</v>
      </c>
      <c r="J30" s="8"/>
      <c r="K30" s="8"/>
      <c r="L30" s="8"/>
      <c r="M30" s="29">
        <v>0</v>
      </c>
      <c r="N30" s="33">
        <v>0.03</v>
      </c>
      <c r="O30" s="34">
        <f t="shared" si="2"/>
        <v>0</v>
      </c>
      <c r="P30" s="6" t="s">
        <v>136</v>
      </c>
      <c r="Q30" s="9" t="s">
        <v>36</v>
      </c>
      <c r="R30" s="9" t="s">
        <v>36</v>
      </c>
      <c r="S30" s="8"/>
    </row>
    <row r="31" spans="1:19">
      <c r="A31" s="3">
        <v>3.4</v>
      </c>
      <c r="B31" s="4" t="s">
        <v>116</v>
      </c>
      <c r="C31" s="5" t="s">
        <v>137</v>
      </c>
      <c r="D31" s="6" t="s">
        <v>138</v>
      </c>
      <c r="E31" s="6" t="s">
        <v>139</v>
      </c>
      <c r="F31" s="11" t="s">
        <v>74</v>
      </c>
      <c r="G31" s="8">
        <v>2</v>
      </c>
      <c r="H31" s="22">
        <v>46036</v>
      </c>
      <c r="I31" s="22">
        <v>46038</v>
      </c>
      <c r="J31" s="22">
        <v>46036</v>
      </c>
      <c r="K31" s="8"/>
      <c r="L31" s="8"/>
      <c r="M31" s="29">
        <v>0.6</v>
      </c>
      <c r="N31" s="33">
        <v>0.06</v>
      </c>
      <c r="O31" s="34">
        <f t="shared" si="2"/>
        <v>3.5999999999999997E-2</v>
      </c>
      <c r="P31" s="6" t="s">
        <v>140</v>
      </c>
      <c r="Q31" s="9" t="s">
        <v>36</v>
      </c>
      <c r="R31" s="6" t="s">
        <v>141</v>
      </c>
      <c r="S31" s="8"/>
    </row>
    <row r="32" spans="1:19">
      <c r="A32" s="3">
        <v>3.5</v>
      </c>
      <c r="B32" s="4" t="s">
        <v>116</v>
      </c>
      <c r="C32" s="5" t="s">
        <v>142</v>
      </c>
      <c r="D32" s="6" t="s">
        <v>143</v>
      </c>
      <c r="E32" s="6" t="s">
        <v>144</v>
      </c>
      <c r="F32" s="11" t="s">
        <v>74</v>
      </c>
      <c r="G32" s="8">
        <v>1.5</v>
      </c>
      <c r="H32" s="22">
        <v>46034</v>
      </c>
      <c r="I32" s="22">
        <v>46034</v>
      </c>
      <c r="J32" s="22">
        <v>46034</v>
      </c>
      <c r="K32" s="22">
        <v>46034</v>
      </c>
      <c r="L32" s="8">
        <v>1</v>
      </c>
      <c r="M32" s="29">
        <v>1</v>
      </c>
      <c r="N32" s="33">
        <v>0.04</v>
      </c>
      <c r="O32" s="34">
        <f t="shared" si="2"/>
        <v>0.04</v>
      </c>
      <c r="P32" s="6" t="s">
        <v>145</v>
      </c>
      <c r="Q32" s="6" t="s">
        <v>142</v>
      </c>
      <c r="R32" s="6" t="s">
        <v>146</v>
      </c>
      <c r="S32" s="8"/>
    </row>
    <row r="33" spans="1:19">
      <c r="A33" s="3">
        <v>3.6</v>
      </c>
      <c r="B33" s="4" t="s">
        <v>116</v>
      </c>
      <c r="C33" s="5" t="s">
        <v>147</v>
      </c>
      <c r="D33" s="6" t="s">
        <v>148</v>
      </c>
      <c r="E33" s="6" t="s">
        <v>149</v>
      </c>
      <c r="F33" s="11" t="s">
        <v>74</v>
      </c>
      <c r="G33" s="8">
        <v>1.5</v>
      </c>
      <c r="H33" s="8" t="s">
        <v>150</v>
      </c>
      <c r="I33" s="22">
        <v>46050</v>
      </c>
      <c r="J33" s="8"/>
      <c r="K33" s="8"/>
      <c r="L33" s="8"/>
      <c r="M33" s="29">
        <v>0</v>
      </c>
      <c r="N33" s="33">
        <v>0.05</v>
      </c>
      <c r="O33" s="34">
        <f t="shared" si="2"/>
        <v>0</v>
      </c>
      <c r="P33" s="6" t="s">
        <v>151</v>
      </c>
      <c r="Q33" s="9" t="s">
        <v>36</v>
      </c>
      <c r="R33" s="6" t="s">
        <v>141</v>
      </c>
      <c r="S33" s="8"/>
    </row>
    <row r="34" spans="1:19">
      <c r="A34" s="3">
        <v>3.7</v>
      </c>
      <c r="B34" s="4" t="s">
        <v>116</v>
      </c>
      <c r="C34" s="5" t="s">
        <v>147</v>
      </c>
      <c r="D34" s="6" t="s">
        <v>152</v>
      </c>
      <c r="E34" s="6" t="s">
        <v>153</v>
      </c>
      <c r="F34" s="7" t="s">
        <v>33</v>
      </c>
      <c r="G34" s="8">
        <v>1.5</v>
      </c>
      <c r="H34" s="8" t="s">
        <v>154</v>
      </c>
      <c r="I34" s="22">
        <v>46052</v>
      </c>
      <c r="J34" s="8"/>
      <c r="K34" s="8"/>
      <c r="L34" s="8"/>
      <c r="M34" s="29">
        <v>0</v>
      </c>
      <c r="N34" s="33">
        <v>0.04</v>
      </c>
      <c r="O34" s="34">
        <f t="shared" si="2"/>
        <v>0</v>
      </c>
      <c r="P34" s="6" t="s">
        <v>155</v>
      </c>
      <c r="Q34" s="9" t="s">
        <v>36</v>
      </c>
      <c r="R34" s="9" t="s">
        <v>36</v>
      </c>
      <c r="S34" s="8"/>
    </row>
    <row r="35" spans="1:19">
      <c r="A35" s="3">
        <v>3.8</v>
      </c>
      <c r="B35" s="4" t="s">
        <v>116</v>
      </c>
      <c r="C35" s="8" t="s">
        <v>156</v>
      </c>
      <c r="D35" s="9" t="s">
        <v>157</v>
      </c>
      <c r="E35" s="6" t="s">
        <v>158</v>
      </c>
      <c r="F35" s="11" t="s">
        <v>74</v>
      </c>
      <c r="G35" s="8">
        <v>2</v>
      </c>
      <c r="H35" s="8" t="s">
        <v>159</v>
      </c>
      <c r="I35" s="22">
        <v>46056</v>
      </c>
      <c r="J35" s="8"/>
      <c r="K35" s="8"/>
      <c r="L35" s="8"/>
      <c r="M35" s="29">
        <v>0</v>
      </c>
      <c r="N35" s="33">
        <v>0.06</v>
      </c>
      <c r="O35" s="34">
        <f t="shared" si="2"/>
        <v>0</v>
      </c>
      <c r="P35" s="6" t="s">
        <v>160</v>
      </c>
      <c r="Q35" s="6" t="s">
        <v>161</v>
      </c>
      <c r="R35" s="6" t="s">
        <v>141</v>
      </c>
      <c r="S35" s="8"/>
    </row>
    <row r="36" spans="1:19">
      <c r="A36" s="3">
        <v>3.9</v>
      </c>
      <c r="B36" s="4" t="s">
        <v>116</v>
      </c>
      <c r="C36" s="5" t="s">
        <v>162</v>
      </c>
      <c r="D36" s="6" t="s">
        <v>163</v>
      </c>
      <c r="E36" s="6" t="s">
        <v>164</v>
      </c>
      <c r="F36" s="11" t="s">
        <v>74</v>
      </c>
      <c r="G36" s="8">
        <v>1.5</v>
      </c>
      <c r="H36" s="8" t="s">
        <v>165</v>
      </c>
      <c r="I36" s="22">
        <v>46058</v>
      </c>
      <c r="J36" s="8"/>
      <c r="K36" s="8"/>
      <c r="L36" s="8"/>
      <c r="M36" s="29">
        <v>0</v>
      </c>
      <c r="N36" s="33">
        <v>0.05</v>
      </c>
      <c r="O36" s="34">
        <f t="shared" si="2"/>
        <v>0</v>
      </c>
      <c r="P36" s="6" t="s">
        <v>162</v>
      </c>
      <c r="Q36" s="9" t="s">
        <v>36</v>
      </c>
      <c r="R36" s="9" t="s">
        <v>36</v>
      </c>
      <c r="S36" s="8"/>
    </row>
    <row r="37" spans="1:19">
      <c r="A37" s="3">
        <v>3.1</v>
      </c>
      <c r="B37" s="4" t="s">
        <v>116</v>
      </c>
      <c r="C37" s="5" t="s">
        <v>162</v>
      </c>
      <c r="D37" s="6" t="s">
        <v>166</v>
      </c>
      <c r="E37" s="6" t="s">
        <v>167</v>
      </c>
      <c r="F37" s="7" t="s">
        <v>33</v>
      </c>
      <c r="G37" s="8">
        <v>1.5</v>
      </c>
      <c r="H37" s="8" t="s">
        <v>168</v>
      </c>
      <c r="I37" s="22">
        <v>46060</v>
      </c>
      <c r="J37" s="8"/>
      <c r="K37" s="8"/>
      <c r="L37" s="8"/>
      <c r="M37" s="29">
        <v>0</v>
      </c>
      <c r="N37" s="33">
        <v>0.04</v>
      </c>
      <c r="O37" s="34">
        <f t="shared" si="2"/>
        <v>0</v>
      </c>
      <c r="P37" s="6" t="s">
        <v>169</v>
      </c>
      <c r="Q37" s="9" t="s">
        <v>36</v>
      </c>
      <c r="R37" s="9" t="s">
        <v>36</v>
      </c>
      <c r="S37" s="8"/>
    </row>
    <row r="38" spans="1:19">
      <c r="A38" s="3">
        <v>3.11</v>
      </c>
      <c r="B38" s="4" t="s">
        <v>116</v>
      </c>
      <c r="C38" s="8" t="s">
        <v>156</v>
      </c>
      <c r="D38" s="6" t="s">
        <v>170</v>
      </c>
      <c r="E38" s="9" t="s">
        <v>171</v>
      </c>
      <c r="F38" s="7" t="s">
        <v>33</v>
      </c>
      <c r="G38" s="8">
        <v>1</v>
      </c>
      <c r="H38" s="8" t="s">
        <v>172</v>
      </c>
      <c r="I38" s="22">
        <v>46063</v>
      </c>
      <c r="J38" s="8"/>
      <c r="K38" s="8"/>
      <c r="L38" s="8"/>
      <c r="M38" s="29">
        <v>0</v>
      </c>
      <c r="N38" s="33">
        <v>0.03</v>
      </c>
      <c r="O38" s="34">
        <f t="shared" si="2"/>
        <v>0</v>
      </c>
      <c r="P38" s="6" t="s">
        <v>173</v>
      </c>
      <c r="Q38" s="6" t="s">
        <v>174</v>
      </c>
      <c r="R38" s="9" t="s">
        <v>36</v>
      </c>
      <c r="S38" s="8"/>
    </row>
    <row r="39" spans="1:19">
      <c r="A39" s="3">
        <v>3.12</v>
      </c>
      <c r="B39" s="4" t="s">
        <v>116</v>
      </c>
      <c r="C39" s="5" t="s">
        <v>85</v>
      </c>
      <c r="D39" s="6" t="s">
        <v>175</v>
      </c>
      <c r="E39" s="6" t="s">
        <v>176</v>
      </c>
      <c r="F39" s="7" t="s">
        <v>33</v>
      </c>
      <c r="G39" s="8">
        <v>1.5</v>
      </c>
      <c r="H39" s="22">
        <v>46035</v>
      </c>
      <c r="I39" s="22">
        <v>46036</v>
      </c>
      <c r="J39" s="22">
        <v>46035</v>
      </c>
      <c r="K39" s="8"/>
      <c r="L39" s="8"/>
      <c r="M39" s="29">
        <v>0.6</v>
      </c>
      <c r="N39" s="33">
        <v>0.04</v>
      </c>
      <c r="O39" s="34">
        <f t="shared" si="2"/>
        <v>2.4E-2</v>
      </c>
      <c r="P39" s="6" t="s">
        <v>177</v>
      </c>
      <c r="Q39" s="9" t="s">
        <v>36</v>
      </c>
      <c r="R39" s="9" t="s">
        <v>36</v>
      </c>
      <c r="S39" s="8"/>
    </row>
    <row r="40" spans="1:19">
      <c r="A40" s="3">
        <v>3.13</v>
      </c>
      <c r="B40" s="4" t="s">
        <v>116</v>
      </c>
      <c r="C40" s="5" t="s">
        <v>85</v>
      </c>
      <c r="D40" s="6" t="s">
        <v>178</v>
      </c>
      <c r="E40" s="6" t="s">
        <v>179</v>
      </c>
      <c r="F40" s="7" t="s">
        <v>33</v>
      </c>
      <c r="G40" s="8">
        <v>1.5</v>
      </c>
      <c r="H40" s="22">
        <v>46036</v>
      </c>
      <c r="I40" s="22">
        <v>46037</v>
      </c>
      <c r="J40" s="22">
        <v>46036</v>
      </c>
      <c r="K40" s="8"/>
      <c r="L40" s="8"/>
      <c r="M40" s="29">
        <v>0.5</v>
      </c>
      <c r="N40" s="33">
        <v>0.04</v>
      </c>
      <c r="O40" s="34">
        <f t="shared" si="2"/>
        <v>0.02</v>
      </c>
      <c r="P40" s="6" t="s">
        <v>180</v>
      </c>
      <c r="Q40" s="9" t="s">
        <v>36</v>
      </c>
      <c r="R40" s="9" t="s">
        <v>36</v>
      </c>
      <c r="S40" s="8"/>
    </row>
    <row r="41" spans="1:19">
      <c r="A41" s="3">
        <v>3.14</v>
      </c>
      <c r="B41" s="4" t="s">
        <v>116</v>
      </c>
      <c r="C41" s="5" t="s">
        <v>85</v>
      </c>
      <c r="D41" s="6" t="s">
        <v>181</v>
      </c>
      <c r="E41" s="6" t="s">
        <v>182</v>
      </c>
      <c r="F41" s="10" t="s">
        <v>47</v>
      </c>
      <c r="G41" s="8">
        <v>1.5</v>
      </c>
      <c r="H41" s="22">
        <v>46037</v>
      </c>
      <c r="I41" s="22">
        <v>46038</v>
      </c>
      <c r="J41" s="22">
        <v>46037</v>
      </c>
      <c r="K41" s="8"/>
      <c r="L41" s="8"/>
      <c r="M41" s="29">
        <v>0.5</v>
      </c>
      <c r="N41" s="33">
        <v>0.03</v>
      </c>
      <c r="O41" s="34">
        <f t="shared" si="2"/>
        <v>1.4999999999999999E-2</v>
      </c>
      <c r="P41" s="6" t="s">
        <v>183</v>
      </c>
      <c r="Q41" s="9" t="s">
        <v>36</v>
      </c>
      <c r="R41" s="9" t="s">
        <v>36</v>
      </c>
      <c r="S41" s="8"/>
    </row>
    <row r="42" spans="1:19">
      <c r="A42" s="3">
        <v>3.15</v>
      </c>
      <c r="B42" s="4" t="s">
        <v>116</v>
      </c>
      <c r="C42" s="5" t="s">
        <v>85</v>
      </c>
      <c r="D42" s="6" t="s">
        <v>184</v>
      </c>
      <c r="E42" s="6" t="s">
        <v>185</v>
      </c>
      <c r="F42" s="10" t="s">
        <v>47</v>
      </c>
      <c r="G42" s="8">
        <v>1.5</v>
      </c>
      <c r="H42" s="22">
        <v>46035</v>
      </c>
      <c r="I42" s="22">
        <v>46035</v>
      </c>
      <c r="J42" s="22">
        <v>46035</v>
      </c>
      <c r="K42" s="22">
        <v>46035</v>
      </c>
      <c r="L42" s="8">
        <v>1</v>
      </c>
      <c r="M42" s="29">
        <v>0.6</v>
      </c>
      <c r="N42" s="33">
        <v>0.03</v>
      </c>
      <c r="O42" s="34">
        <f t="shared" si="2"/>
        <v>1.7999999999999999E-2</v>
      </c>
      <c r="P42" s="6" t="s">
        <v>186</v>
      </c>
      <c r="Q42" s="9" t="s">
        <v>36</v>
      </c>
      <c r="R42" s="9" t="s">
        <v>36</v>
      </c>
      <c r="S42" s="8"/>
    </row>
    <row r="43" spans="1:19">
      <c r="A43" s="3">
        <v>3.16</v>
      </c>
      <c r="B43" s="4" t="s">
        <v>116</v>
      </c>
      <c r="C43" s="5" t="s">
        <v>187</v>
      </c>
      <c r="D43" s="6" t="s">
        <v>188</v>
      </c>
      <c r="E43" s="6" t="s">
        <v>189</v>
      </c>
      <c r="F43" s="10" t="s">
        <v>47</v>
      </c>
      <c r="G43" s="8">
        <v>1</v>
      </c>
      <c r="H43" s="8" t="s">
        <v>190</v>
      </c>
      <c r="I43" s="8" t="s">
        <v>190</v>
      </c>
      <c r="J43" s="8"/>
      <c r="K43" s="8"/>
      <c r="L43" s="8"/>
      <c r="M43" s="29">
        <v>0</v>
      </c>
      <c r="N43" s="33">
        <v>0.02</v>
      </c>
      <c r="O43" s="34">
        <f t="shared" si="2"/>
        <v>0</v>
      </c>
      <c r="P43" s="6" t="s">
        <v>191</v>
      </c>
      <c r="Q43" s="9" t="s">
        <v>36</v>
      </c>
      <c r="R43" s="9" t="s">
        <v>36</v>
      </c>
      <c r="S43" s="8"/>
    </row>
    <row r="44" spans="1:19" ht="15.75" customHeight="1">
      <c r="A44" s="36" t="s">
        <v>192</v>
      </c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</row>
    <row r="45" spans="1:19">
      <c r="A45" s="3" t="s">
        <v>193</v>
      </c>
      <c r="B45" s="4" t="s">
        <v>110</v>
      </c>
      <c r="C45" s="5" t="s">
        <v>194</v>
      </c>
      <c r="D45" s="6" t="s">
        <v>195</v>
      </c>
      <c r="E45" s="6" t="s">
        <v>196</v>
      </c>
      <c r="F45" s="7" t="s">
        <v>33</v>
      </c>
      <c r="G45" s="8">
        <v>1.5</v>
      </c>
      <c r="H45" s="8" t="s">
        <v>197</v>
      </c>
      <c r="I45" s="22">
        <v>46077</v>
      </c>
      <c r="J45" s="8"/>
      <c r="K45" s="8"/>
      <c r="L45" s="8"/>
      <c r="M45" s="32">
        <v>0</v>
      </c>
      <c r="N45" s="33">
        <v>0.03</v>
      </c>
      <c r="O45" s="34">
        <f>M45*N45</f>
        <v>0</v>
      </c>
      <c r="P45" s="6" t="s">
        <v>198</v>
      </c>
      <c r="Q45" s="9" t="s">
        <v>36</v>
      </c>
      <c r="R45" s="9" t="s">
        <v>36</v>
      </c>
      <c r="S45" s="8"/>
    </row>
    <row r="46" spans="1:19">
      <c r="A46" s="3" t="s">
        <v>199</v>
      </c>
      <c r="B46" s="4" t="s">
        <v>110</v>
      </c>
      <c r="C46" s="5" t="s">
        <v>200</v>
      </c>
      <c r="D46" s="6" t="s">
        <v>201</v>
      </c>
      <c r="E46" s="6" t="s">
        <v>202</v>
      </c>
      <c r="F46" s="11" t="s">
        <v>74</v>
      </c>
      <c r="G46" s="8">
        <v>1.5</v>
      </c>
      <c r="H46" s="8" t="s">
        <v>203</v>
      </c>
      <c r="I46" s="22">
        <v>46078</v>
      </c>
      <c r="J46" s="8"/>
      <c r="K46" s="8"/>
      <c r="L46" s="8"/>
      <c r="M46" s="32">
        <v>0</v>
      </c>
      <c r="N46" s="33">
        <v>0.02</v>
      </c>
      <c r="O46" s="34">
        <f t="shared" ref="O46:O47" si="3">M46*N46</f>
        <v>0</v>
      </c>
      <c r="P46" s="6" t="s">
        <v>204</v>
      </c>
      <c r="Q46" s="9" t="s">
        <v>36</v>
      </c>
      <c r="R46" s="6" t="s">
        <v>141</v>
      </c>
      <c r="S46" s="8"/>
    </row>
    <row r="47" spans="1:19">
      <c r="A47" s="3" t="s">
        <v>205</v>
      </c>
      <c r="B47" s="4" t="s">
        <v>110</v>
      </c>
      <c r="C47" s="5" t="s">
        <v>206</v>
      </c>
      <c r="D47" s="6" t="s">
        <v>207</v>
      </c>
      <c r="E47" s="6" t="s">
        <v>208</v>
      </c>
      <c r="F47" s="7" t="s">
        <v>33</v>
      </c>
      <c r="G47" s="8">
        <v>0.5</v>
      </c>
      <c r="H47" s="8" t="s">
        <v>209</v>
      </c>
      <c r="I47" s="8" t="s">
        <v>209</v>
      </c>
      <c r="J47" s="8"/>
      <c r="K47" s="8"/>
      <c r="L47" s="8"/>
      <c r="M47" s="32">
        <v>0</v>
      </c>
      <c r="N47" s="33">
        <v>0.02</v>
      </c>
      <c r="O47" s="34">
        <f t="shared" si="3"/>
        <v>0</v>
      </c>
      <c r="P47" s="6" t="s">
        <v>210</v>
      </c>
      <c r="Q47" s="9" t="s">
        <v>36</v>
      </c>
      <c r="R47" s="9" t="s">
        <v>36</v>
      </c>
      <c r="S47" s="8"/>
    </row>
    <row r="48" spans="1:19" ht="15.75" customHeight="1">
      <c r="A48" s="36" t="s">
        <v>211</v>
      </c>
      <c r="B48" s="37"/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</row>
    <row r="49" spans="1:19">
      <c r="A49" s="3" t="s">
        <v>212</v>
      </c>
      <c r="B49" s="4" t="s">
        <v>213</v>
      </c>
      <c r="C49" s="5" t="s">
        <v>214</v>
      </c>
      <c r="D49" s="6" t="s">
        <v>215</v>
      </c>
      <c r="E49" s="6" t="s">
        <v>216</v>
      </c>
      <c r="F49" s="7" t="s">
        <v>33</v>
      </c>
      <c r="G49" s="8">
        <v>1</v>
      </c>
      <c r="H49" s="8" t="s">
        <v>217</v>
      </c>
      <c r="I49" s="8" t="s">
        <v>217</v>
      </c>
      <c r="J49" s="8"/>
      <c r="K49" s="8"/>
      <c r="L49" s="8"/>
      <c r="M49" s="32">
        <v>0</v>
      </c>
      <c r="N49" s="33">
        <v>0.02</v>
      </c>
      <c r="O49" s="34">
        <f>M49*N49</f>
        <v>0</v>
      </c>
      <c r="P49" s="6" t="s">
        <v>218</v>
      </c>
      <c r="Q49" s="9" t="s">
        <v>36</v>
      </c>
      <c r="R49" s="9" t="s">
        <v>219</v>
      </c>
      <c r="S49" s="8"/>
    </row>
    <row r="50" spans="1:19">
      <c r="A50" s="3" t="s">
        <v>220</v>
      </c>
      <c r="B50" s="4" t="s">
        <v>213</v>
      </c>
      <c r="C50" s="5" t="s">
        <v>57</v>
      </c>
      <c r="D50" s="6" t="s">
        <v>221</v>
      </c>
      <c r="E50" s="6" t="s">
        <v>222</v>
      </c>
      <c r="F50" s="10" t="s">
        <v>47</v>
      </c>
      <c r="G50" s="8">
        <v>1</v>
      </c>
      <c r="H50" s="8" t="s">
        <v>223</v>
      </c>
      <c r="I50" s="8" t="s">
        <v>223</v>
      </c>
      <c r="J50" s="8"/>
      <c r="K50" s="8"/>
      <c r="L50" s="8"/>
      <c r="M50" s="32">
        <v>0</v>
      </c>
      <c r="N50" s="33">
        <v>0.01</v>
      </c>
      <c r="O50" s="34">
        <f>M50*N50</f>
        <v>0</v>
      </c>
      <c r="P50" s="6" t="s">
        <v>224</v>
      </c>
      <c r="Q50" s="9" t="s">
        <v>36</v>
      </c>
      <c r="R50" s="6" t="s">
        <v>225</v>
      </c>
      <c r="S50" s="8"/>
    </row>
  </sheetData>
  <mergeCells count="2">
    <mergeCell ref="A1:S1"/>
    <mergeCell ref="A2:S2"/>
  </mergeCells>
  <phoneticPr fontId="16" type="noConversion"/>
  <conditionalFormatting sqref="M11:M15">
    <cfRule type="colorScale" priority="10">
      <colorScale>
        <cfvo type="min"/>
        <cfvo type="max"/>
        <color rgb="FFFCFCFF"/>
        <color rgb="FF63BE7B"/>
      </colorScale>
    </cfRule>
  </conditionalFormatting>
  <conditionalFormatting sqref="M17:M25">
    <cfRule type="colorScale" priority="11">
      <colorScale>
        <cfvo type="min"/>
        <cfvo type="max"/>
        <color rgb="FFFCFCFF"/>
        <color rgb="FF63BE7B"/>
      </colorScale>
    </cfRule>
  </conditionalFormatting>
  <conditionalFormatting sqref="M27:M43">
    <cfRule type="colorScale" priority="9">
      <colorScale>
        <cfvo type="min"/>
        <cfvo type="max"/>
        <color rgb="FFFCFCFF"/>
        <color rgb="FF63BE7B"/>
      </colorScale>
    </cfRule>
  </conditionalFormatting>
  <conditionalFormatting sqref="K20 I20">
    <cfRule type="colorScale" priority="5">
      <colorScale>
        <cfvo type="min"/>
        <cfvo type="max"/>
        <color rgb="FF63BE7B"/>
        <color rgb="FFFCFCFF"/>
      </colorScale>
    </cfRule>
  </conditionalFormatting>
  <conditionalFormatting sqref="I20 K20">
    <cfRule type="colorScale" priority="6">
      <colorScale>
        <cfvo type="min"/>
        <cfvo type="max"/>
        <color rgb="FFFCFCFF"/>
        <color rgb="FFF8696B"/>
      </colorScale>
    </cfRule>
  </conditionalFormatting>
  <conditionalFormatting sqref="K21 I21">
    <cfRule type="colorScale" priority="3">
      <colorScale>
        <cfvo type="min"/>
        <cfvo type="max"/>
        <color rgb="FF63BE7B"/>
        <color rgb="FFFCFCFF"/>
      </colorScale>
    </cfRule>
  </conditionalFormatting>
  <conditionalFormatting sqref="I21 K21">
    <cfRule type="colorScale" priority="4">
      <colorScale>
        <cfvo type="min"/>
        <cfvo type="max"/>
        <color rgb="FFFCFCFF"/>
        <color rgb="FFF8696B"/>
      </colorScale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567062083FF0C489CD6199BA878933A" ma:contentTypeVersion="11" ma:contentTypeDescription="Create a new document." ma:contentTypeScope="" ma:versionID="0647f482ab3e4f26d2d1ce97c28059d2">
  <xsd:schema xmlns:xsd="http://www.w3.org/2001/XMLSchema" xmlns:xs="http://www.w3.org/2001/XMLSchema" xmlns:p="http://schemas.microsoft.com/office/2006/metadata/properties" xmlns:ns2="474a73b6-8290-45cd-9cf8-dbe1279a52db" xmlns:ns3="9316feca-44df-4b9b-8b7a-b4b3ee962db0" targetNamespace="http://schemas.microsoft.com/office/2006/metadata/properties" ma:root="true" ma:fieldsID="39eab83925cf66f1c32f3619635aa33e" ns2:_="" ns3:_="">
    <xsd:import namespace="474a73b6-8290-45cd-9cf8-dbe1279a52db"/>
    <xsd:import namespace="9316feca-44df-4b9b-8b7a-b4b3ee962db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4a73b6-8290-45cd-9cf8-dbe1279a52d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fde5a051-65c6-492d-ada3-f3677e7e200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16feca-44df-4b9b-8b7a-b4b3ee962db0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b18b5ae7-c2c0-4c72-86e5-a91685330ed6}" ma:internalName="TaxCatchAll" ma:showField="CatchAllData" ma:web="9316feca-44df-4b9b-8b7a-b4b3ee962db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16feca-44df-4b9b-8b7a-b4b3ee962db0" xsi:nil="true"/>
    <lcf76f155ced4ddcb4097134ff3c332f xmlns="474a73b6-8290-45cd-9cf8-dbe1279a52d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6DD60E1-54E2-492A-8813-CDBE9BB8529B}"/>
</file>

<file path=customXml/itemProps2.xml><?xml version="1.0" encoding="utf-8"?>
<ds:datastoreItem xmlns:ds="http://schemas.openxmlformats.org/officeDocument/2006/customXml" ds:itemID="{0A731A5A-79B2-4293-9DD6-C781B9B8A260}"/>
</file>

<file path=customXml/itemProps3.xml><?xml version="1.0" encoding="utf-8"?>
<ds:datastoreItem xmlns:ds="http://schemas.openxmlformats.org/officeDocument/2006/customXml" ds:itemID="{8DCC9E6F-2A9B-430A-8C43-3EAC068A2EA0}"/>
</file>

<file path=docMetadata/LabelInfo.xml><?xml version="1.0" encoding="utf-8"?>
<clbl:labelList xmlns:clbl="http://schemas.microsoft.com/office/2020/mipLabelMetadata">
  <clbl:label id="{ec1df8f4-4bd0-47b5-a9b8-8f61fb47fe07}" enabled="1" method="Privileged" siteId="{2002127d-ecd5-424c-b995-a6f750055ec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함윤식[Yoonsic Ham]</cp:lastModifiedBy>
  <cp:revision>0</cp:revision>
  <dcterms:created xsi:type="dcterms:W3CDTF">2026-01-08T00:24:18Z</dcterms:created>
  <dcterms:modified xsi:type="dcterms:W3CDTF">2026-01-15T08:38:00Z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0x0101003567062083FF0C489CD6199BA878933A</vt:lpwstr>
  </property>
  <property fmtid="{D5CDD505-2E9C-101B-9397-08002B2CF9AE}" pid="3" name="MediaServiceImageTags">
    <vt:lpwstr/>
  </property>
</Properties>
</file>